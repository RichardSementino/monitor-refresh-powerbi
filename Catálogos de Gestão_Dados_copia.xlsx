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3256" windowHeight="13176" firstSheet="3" activeTab="6"/>
  </bookViews>
  <sheets>
    <sheet name="Backlog 2026" sheetId="1" state="hidden" r:id="rId1"/>
    <sheet name="Planilha1" sheetId="2" state="hidden" r:id="rId2"/>
    <sheet name="Backlog DEVOPS" sheetId="3" state="hidden" r:id="rId3"/>
    <sheet name="Catálogo_Reports" sheetId="4" r:id="rId4"/>
    <sheet name="Planilha2" sheetId="5" r:id="rId5"/>
    <sheet name="Catálogo_Reports_Status" sheetId="6" r:id="rId6"/>
    <sheet name="Monitoramento Diário" sheetId="7" r:id="rId7"/>
    <sheet name="Análises_Dashboards" sheetId="8" r:id="rId8"/>
    <sheet name="Erros Dashboards" sheetId="9" r:id="rId9"/>
    <sheet name="Catálogo_Pipes" sheetId="10" r:id="rId10"/>
    <sheet name="Workspaces" sheetId="11" r:id="rId11"/>
    <sheet name="Donos BIs" sheetId="12" r:id="rId12"/>
    <sheet name="Capacity" sheetId="13" r:id="rId13"/>
  </sheets>
  <definedNames>
    <definedName name="_xlnm._FilterDatabase" localSheetId="2" hidden="1">'Backlog DEVOPS'!$A$1:$B$42</definedName>
    <definedName name="_xlnm._FilterDatabase" localSheetId="3" hidden="1">Catálogo_Reports!$A$3:$O$62</definedName>
    <definedName name="_xlnm._FilterDatabase" localSheetId="8" hidden="1">'Erros Dashboards'!$A$2:$D$223</definedName>
    <definedName name="_xlnm._FilterDatabase" localSheetId="6" hidden="1">'Monitoramento Diário'!$A$4:$AR$233</definedName>
    <definedName name="_xlnm._FilterDatabase" localSheetId="1" hidden="1">Planilha1!$A$1:$G$98</definedName>
    <definedName name="_xlnm._FilterDatabase" localSheetId="10" hidden="1">Workspaces!$A$1:$C$26</definedName>
  </definedNames>
  <calcPr calcId="145621"/>
  <pivotCaches>
    <pivotCache cacheId="0" r:id="rId14"/>
    <pivotCache cacheId="1" r:id="rId15"/>
  </pivotCaches>
</workbook>
</file>

<file path=xl/calcChain.xml><?xml version="1.0" encoding="utf-8"?>
<calcChain xmlns="http://schemas.openxmlformats.org/spreadsheetml/2006/main">
  <c r="A1" i="9" l="1"/>
  <c r="C21" i="8"/>
  <c r="C20" i="8"/>
  <c r="C19" i="8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2" i="7"/>
  <c r="A2" i="7"/>
  <c r="A1" i="7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H19" i="4" a="1"/>
  <c r="H59" i="4" a="1"/>
  <c r="H51" i="4" a="1"/>
  <c r="H47" i="4" a="1"/>
  <c r="H43" i="4" a="1"/>
  <c r="H39" i="4" a="1"/>
  <c r="H35" i="4" a="1"/>
  <c r="H31" i="4" a="1"/>
  <c r="H27" i="4" a="1"/>
  <c r="H23" i="4" a="1"/>
  <c r="H11" i="4" a="1"/>
  <c r="H7" i="4" a="1"/>
  <c r="H15" i="4" a="1"/>
  <c r="H55" i="4" a="1"/>
  <c r="H62" i="4" a="1"/>
  <c r="H50" i="4" a="1"/>
  <c r="H38" i="4" a="1"/>
  <c r="H26" i="4" a="1"/>
  <c r="H14" i="4" a="1"/>
  <c r="H61" i="4" a="1"/>
  <c r="H49" i="4" a="1"/>
  <c r="H37" i="4" a="1"/>
  <c r="H25" i="4" a="1"/>
  <c r="H60" i="4" a="1"/>
  <c r="H48" i="4" a="1"/>
  <c r="H36" i="4" a="1"/>
  <c r="H24" i="4" a="1"/>
  <c r="H12" i="4" a="1"/>
  <c r="H58" i="4" a="1"/>
  <c r="H34" i="4" a="1"/>
  <c r="H22" i="4" a="1"/>
  <c r="H57" i="4" a="1"/>
  <c r="H33" i="4" a="1"/>
  <c r="H9" i="4" a="1"/>
  <c r="H56" i="4" a="1"/>
  <c r="H32" i="4" a="1"/>
  <c r="H8" i="4" a="1"/>
  <c r="H42" i="4" a="1"/>
  <c r="H30" i="4" a="1"/>
  <c r="H6" i="4" a="1"/>
  <c r="H41" i="4" a="1"/>
  <c r="H17" i="4" a="1"/>
  <c r="H52" i="4" a="1"/>
  <c r="H16" i="4" a="1"/>
  <c r="H13" i="4" a="1"/>
  <c r="H46" i="4" a="1"/>
  <c r="H10" i="4" a="1"/>
  <c r="H45" i="4" a="1"/>
  <c r="H21" i="4" a="1"/>
  <c r="H44" i="4" a="1"/>
  <c r="H20" i="4" a="1"/>
  <c r="H54" i="4" a="1"/>
  <c r="H18" i="4" a="1"/>
  <c r="H53" i="4" a="1"/>
  <c r="H29" i="4" a="1"/>
  <c r="H5" i="4" a="1"/>
  <c r="H40" i="4" a="1"/>
  <c r="H28" i="4" a="1"/>
  <c r="H4" i="4" a="1"/>
  <c r="H4" i="4" l="1"/>
  <c r="H28" i="4"/>
  <c r="H40" i="4"/>
  <c r="H5" i="4"/>
  <c r="H29" i="4"/>
  <c r="H53" i="4"/>
  <c r="H18" i="4"/>
  <c r="H54" i="4"/>
  <c r="H20" i="4"/>
  <c r="H44" i="4"/>
  <c r="H21" i="4"/>
  <c r="H45" i="4"/>
  <c r="H10" i="4"/>
  <c r="H46" i="4"/>
  <c r="H13" i="4"/>
  <c r="H16" i="4"/>
  <c r="H52" i="4"/>
  <c r="H17" i="4"/>
  <c r="H41" i="4"/>
  <c r="H6" i="4"/>
  <c r="H30" i="4"/>
  <c r="H42" i="4"/>
  <c r="H8" i="4"/>
  <c r="H32" i="4"/>
  <c r="H56" i="4"/>
  <c r="H9" i="4"/>
  <c r="H33" i="4"/>
  <c r="H57" i="4"/>
  <c r="H22" i="4"/>
  <c r="H34" i="4"/>
  <c r="H58" i="4"/>
  <c r="H12" i="4"/>
  <c r="H24" i="4"/>
  <c r="H36" i="4"/>
  <c r="H48" i="4"/>
  <c r="H60" i="4"/>
  <c r="H25" i="4"/>
  <c r="H37" i="4"/>
  <c r="H49" i="4"/>
  <c r="H61" i="4"/>
  <c r="H14" i="4"/>
  <c r="H26" i="4"/>
  <c r="H38" i="4"/>
  <c r="H50" i="4"/>
  <c r="H62" i="4"/>
  <c r="H55" i="4"/>
  <c r="H15" i="4"/>
  <c r="H7" i="4"/>
  <c r="H11" i="4"/>
  <c r="H23" i="4"/>
  <c r="H27" i="4"/>
  <c r="H31" i="4"/>
  <c r="H35" i="4"/>
  <c r="H39" i="4"/>
  <c r="H43" i="4"/>
  <c r="H47" i="4"/>
  <c r="H51" i="4"/>
  <c r="H59" i="4"/>
  <c r="H19" i="4"/>
</calcChain>
</file>

<file path=xl/comments1.xml><?xml version="1.0" encoding="utf-8"?>
<comments xmlns="http://schemas.openxmlformats.org/spreadsheetml/2006/main">
  <authors>
    <author>ROGER SENA DA SILVA</author>
    <author>RICHARD RUTIERREZ SEMENTINO</author>
  </authors>
  <commentList>
    <comment ref="C11" authorId="0">
      <text>
        <r>
          <rPr>
            <sz val="11"/>
            <color theme="1"/>
            <rFont val="Aptos Narrow"/>
            <family val="2"/>
            <scheme val="minor"/>
          </rPr>
          <t>ROGER SENA DA SILVA:
capacity</t>
        </r>
      </text>
    </comment>
    <comment ref="C12" authorId="0">
      <text>
        <r>
          <rPr>
            <sz val="11"/>
            <color theme="1"/>
            <rFont val="Aptos Narrow"/>
            <family val="2"/>
            <scheme val="minor"/>
          </rPr>
          <t xml:space="preserve">ROGER SENA DA SILVA:
Capacity
</t>
        </r>
      </text>
    </comment>
    <comment ref="C13" authorId="0">
      <text>
        <r>
          <rPr>
            <sz val="11"/>
            <color theme="1"/>
            <rFont val="Aptos Narrow"/>
            <family val="2"/>
            <scheme val="minor"/>
          </rPr>
          <t xml:space="preserve">ROGER SENA DA SILVA:
faltam credenciais para uma ou mais fontes de dados
</t>
        </r>
      </text>
    </comment>
    <comment ref="C14" authorId="1">
      <text>
        <r>
          <rPr>
            <sz val="11"/>
            <color theme="1"/>
            <rFont val="Aptos Narrow"/>
            <family val="2"/>
            <scheme val="minor"/>
          </rPr>
          <t xml:space="preserve">RICHARD RUTIERREZ SEMENTINO:
faltam credenciais para uma ou mais fontes de dados
</t>
        </r>
      </text>
    </comment>
    <comment ref="C15" authorId="0">
      <text>
        <r>
          <rPr>
            <sz val="11"/>
            <color theme="1"/>
            <rFont val="Aptos Narrow"/>
            <family val="2"/>
            <scheme val="minor"/>
          </rPr>
          <t>ROGER SENA DA SILVA:
Power BI Service não consegue se conectar ao Gateway de Dados Local</t>
        </r>
      </text>
    </comment>
    <comment ref="C19" authorId="0">
      <text>
        <r>
          <rPr>
            <sz val="11"/>
            <color theme="1"/>
            <rFont val="Aptos Narrow"/>
            <family val="2"/>
            <scheme val="minor"/>
          </rPr>
          <t xml:space="preserve">ROGER SENA DA SILVA:
Capacity
</t>
        </r>
      </text>
    </comment>
    <comment ref="C30" authorId="1">
      <text>
        <r>
          <rPr>
            <sz val="11"/>
            <color theme="1"/>
            <rFont val="Aptos Narrow"/>
            <family val="2"/>
            <scheme val="minor"/>
          </rPr>
          <t xml:space="preserve">RICHARD RUTIERREZ SEMENTINO:
Erro no preenchimento de dados
</t>
        </r>
      </text>
    </comment>
    <comment ref="C46" authorId="0">
      <text>
        <r>
          <rPr>
            <sz val="11"/>
            <color theme="1"/>
            <rFont val="Aptos Narrow"/>
            <family val="2"/>
            <scheme val="minor"/>
          </rPr>
          <t>ROGER SENA DA SILVA:
Power BI desativou novamente a atualização agendada porque uma ou mais fontes de dados perderam suas credenciais válidas.</t>
        </r>
      </text>
    </comment>
    <comment ref="C56" authorId="0">
      <text>
        <r>
          <rPr>
            <sz val="11"/>
            <color theme="1"/>
            <rFont val="Aptos Narrow"/>
            <family val="2"/>
            <scheme val="minor"/>
          </rPr>
          <t xml:space="preserve">ROGER SENA DA SILVA:
Power BI desativou novamente a atualização agendada porque uma ou mais fontes de dados perderam suas credenciais válidas.
</t>
        </r>
      </text>
    </comment>
    <comment ref="C57" authorId="0">
      <text>
        <r>
          <rPr>
            <sz val="11"/>
            <color theme="1"/>
            <rFont val="Aptos Narrow"/>
            <family val="2"/>
            <scheme val="minor"/>
          </rPr>
          <t>ROGER SENA DA SILVA:
o refresh token do Azure AD (Microsoft Entra ID) expirou por inatividade</t>
        </r>
      </text>
    </comment>
  </commentList>
</comments>
</file>

<file path=xl/comments2.xml><?xml version="1.0" encoding="utf-8"?>
<comments xmlns="http://schemas.openxmlformats.org/spreadsheetml/2006/main">
  <authors>
    <author>tc={232AC9D8-2B4D-42FB-B9AD-DE331F83AB02}</author>
    <author>tc={7994E505-D293-40AE-A2F5-1918D7CFA360}</author>
  </authors>
  <commentList>
    <comment ref="E4" author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 Dashboard em questão foi construído por um colaborador o qual não se encontra mais na empresa. Os dados estavam no onedrive pessoal do mesmo e por conta disso o dashboard está quebrando. Uma API com a plataforma fornecedora de dados já foi solicitada e estamos aguardando reunião para obtermos a chave de acesso</t>
        </r>
      </text>
    </comment>
    <comment ref="S4" authorId="1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 dashboard em questão apresenta dados preenchidos de maneira errada. Já foi informado ao responsável e estamos aguardando o mesmo resolver o problema com os dados</t>
        </r>
      </text>
    </comment>
  </commentList>
</comments>
</file>

<file path=xl/sharedStrings.xml><?xml version="1.0" encoding="utf-8"?>
<sst xmlns="http://schemas.openxmlformats.org/spreadsheetml/2006/main" count="3562" uniqueCount="583">
  <si>
    <t>BACKLOG - Dados</t>
  </si>
  <si>
    <t>Projeto</t>
  </si>
  <si>
    <t>Priorização</t>
  </si>
  <si>
    <t>Tipo</t>
  </si>
  <si>
    <t>Status</t>
  </si>
  <si>
    <t>Data Solicitação</t>
  </si>
  <si>
    <t>Última Atualização</t>
  </si>
  <si>
    <t>Cliente</t>
  </si>
  <si>
    <t>Discovery</t>
  </si>
  <si>
    <t>Data Plan de Entrega</t>
  </si>
  <si>
    <t>Link Material</t>
  </si>
  <si>
    <t>Validador Inputs Manuais - PGM</t>
  </si>
  <si>
    <t>Comum</t>
  </si>
  <si>
    <t>Nova solicitação</t>
  </si>
  <si>
    <t>Backlog</t>
  </si>
  <si>
    <t>-</t>
  </si>
  <si>
    <t>Tamira</t>
  </si>
  <si>
    <t>Meu EP</t>
  </si>
  <si>
    <t>Alta</t>
  </si>
  <si>
    <t>AfiliData</t>
  </si>
  <si>
    <t>Kamile</t>
  </si>
  <si>
    <t>Globo Spot</t>
  </si>
  <si>
    <t>Dashboard Mídias Sociais</t>
  </si>
  <si>
    <t>Renan</t>
  </si>
  <si>
    <t>Documentação Painel de Caixa</t>
  </si>
  <si>
    <t>Documentação</t>
  </si>
  <si>
    <t>Ingestão Bases de Pesquisa</t>
  </si>
  <si>
    <t>Demandas de Suporte Comercial</t>
  </si>
  <si>
    <t>Sustentação</t>
  </si>
  <si>
    <t>POC Ferramenta Catalogo de Dados</t>
  </si>
  <si>
    <t>Levantamento Documentação Existente</t>
  </si>
  <si>
    <t>Elaboração Especificação Tecnica</t>
  </si>
  <si>
    <t>Data Integration - Arquitetura de Dados</t>
  </si>
  <si>
    <t>Data Integration - Sistemas EPTV</t>
  </si>
  <si>
    <t>Data Literacy - Cultura de Dados</t>
  </si>
  <si>
    <t>Data Literacy - DataCast / Textos Tecnicos / Palestras</t>
  </si>
  <si>
    <t>Data Literacy - Melhores Praticas com Dados</t>
  </si>
  <si>
    <t>Data Literacy - Treinamentos</t>
  </si>
  <si>
    <t>Data Product</t>
  </si>
  <si>
    <t>Nucleo de Jornalismo de Dados -  Setup Snowflake</t>
  </si>
  <si>
    <t>On Going</t>
  </si>
  <si>
    <t>Nucleo de Jornalismo de Dados - Crawlers (Sites Mapeados)</t>
  </si>
  <si>
    <t>Nucleo de Jornalismo de Dados - Data Catalog</t>
  </si>
  <si>
    <t>Nucleo de Jornalismo de Dados - Data Transform - Azure</t>
  </si>
  <si>
    <t>Nucleo de Jornalismo de Dados - Prompt LMM (Streamilit)</t>
  </si>
  <si>
    <t>ID</t>
  </si>
  <si>
    <t>Title</t>
  </si>
  <si>
    <t>Assigned To</t>
  </si>
  <si>
    <t>State</t>
  </si>
  <si>
    <t>Area Path</t>
  </si>
  <si>
    <t>Tags</t>
  </si>
  <si>
    <t>Comments</t>
  </si>
  <si>
    <t>[COM-DAT-BQ] DePara Tabelas Vendas</t>
  </si>
  <si>
    <t>FELIPE PEREIRA CORREIA</t>
  </si>
  <si>
    <t>In Progress</t>
  </si>
  <si>
    <t>General\Squad Triggo</t>
  </si>
  <si>
    <t> </t>
  </si>
  <si>
    <t>[COM-ELT-BQ] ELT SISCOM</t>
  </si>
  <si>
    <t>Gabriel Cardoso da Silva</t>
  </si>
  <si>
    <t>[DAT-ADM-FRO] - BI - Ajuste Relatorio - DataLake</t>
  </si>
  <si>
    <t>New</t>
  </si>
  <si>
    <t>[DAT-ADM-FRO] Criações de tabelas externas no Synapse</t>
  </si>
  <si>
    <t>Joao Victor Schiavo Rosseto - Triggo.AI</t>
  </si>
  <si>
    <t>[DAT-ADM-FRO] Finalizações scripts Python + scheduling</t>
  </si>
  <si>
    <t>[DAT-ADM-FRO] Ingestão de Dados</t>
  </si>
  <si>
    <t>Moizes Yan Linhares Barroso</t>
  </si>
  <si>
    <t>[DAT-DAD-DOC] Documentação Sprint - 19/20</t>
  </si>
  <si>
    <t>Cleber Soares de Carvalho</t>
  </si>
  <si>
    <t>[DAT-FIN-APL] Ajustes Power BI - Painel de Caixa</t>
  </si>
  <si>
    <t>LAIS KUMASAKA SANTOS</t>
  </si>
  <si>
    <t>General\GEP\Dados\GEP-BI</t>
  </si>
  <si>
    <t>[DAT-FIN-APL] Documentação Painel de Caixa</t>
  </si>
  <si>
    <t>[DAT-FIN-APL] PBI - API Bacen</t>
  </si>
  <si>
    <t>[DAT-FIN-APL] Relatorio Fundo de Garantia</t>
  </si>
  <si>
    <t>[DAT-JOR-GA3] Criar Dashboard Power BI</t>
  </si>
  <si>
    <t>[DAT-JOR-GA3] Ingestão de Dados GA3</t>
  </si>
  <si>
    <t>[DAT-JOR-MD] Relatorio Brandeds</t>
  </si>
  <si>
    <t>[DAT-MKT-JOB] Dados Proposta</t>
  </si>
  <si>
    <t>[DAT-MKT-PRJ] Ingestão Base Projeta 25</t>
  </si>
  <si>
    <t>[DAT-MKT-PRJ] Projeta 25</t>
  </si>
  <si>
    <t>[DAT-MKT-PRO] Analise / Especificação</t>
  </si>
  <si>
    <t>[DAT-PGM-PES] Ingestão Bases de Pesquisa</t>
  </si>
  <si>
    <t>[DAT-PGM-V2] Melhorias V2</t>
  </si>
  <si>
    <t>[DAT-RAD-EPFM] Integração WhatsApp X APP Zenitiz</t>
  </si>
  <si>
    <t>[DAT-SUS] Arquitetura EPTV</t>
  </si>
  <si>
    <t>[DAT-SUS] Demandas de Suporte Comercial</t>
  </si>
  <si>
    <t>[DAT-SUS] Sustentação</t>
  </si>
  <si>
    <t>[DAT-SUS-COM] POC Ferramenta Catalogo de Dados</t>
  </si>
  <si>
    <t>[DAT-SUS-DEVOPS] Alteração Pool Configuration</t>
  </si>
  <si>
    <t>[DAT-SUS-PGM] Boletim EPTV</t>
  </si>
  <si>
    <t>[DAT-SUS-RHU] Sustentação</t>
  </si>
  <si>
    <t>[EP Data Hub] Falha: COM - Carga Standard</t>
  </si>
  <si>
    <t>[EP Data Hub] Falha: COM - Carga Standard - 2025-04-15T08:30:01.1157747</t>
  </si>
  <si>
    <t>[EP Data Hub] Falha: COM - Carga Standard - 2025-04-16T08:30:00.6901762</t>
  </si>
  <si>
    <t>[EP Data Hub] Falha: RHU - Carga Standard</t>
  </si>
  <si>
    <t>[GEP-BGL] Mapear e Priorizar Fontes de Dados EPTV</t>
  </si>
  <si>
    <t>[GEP-DAT] Engajamento</t>
  </si>
  <si>
    <t>[GEP-DAT] Levantamento Demandas</t>
  </si>
  <si>
    <t>Removed</t>
  </si>
  <si>
    <t>[GEP-DAT-|RE24.03] Sumário Executivo</t>
  </si>
  <si>
    <t>[GEP-DAT-ADM] Administration</t>
  </si>
  <si>
    <t>[GEP-DAT-ADM] Energias</t>
  </si>
  <si>
    <t>[GEP-DAT-ADM] Frotas</t>
  </si>
  <si>
    <t>[GEP-DAT-AUT|RE24]Automatização Processos| Release 2024 (RE24)</t>
  </si>
  <si>
    <t>[GEP-DAT-CEX|RE24.06] Customer Experience Domain | Release 24.06</t>
  </si>
  <si>
    <t>[GEP-DAT-CEX|RE24.06] Data Quality</t>
  </si>
  <si>
    <t>[GEP-DAT-CEX|RE24.06] SRV - Report (BI) - Desempenho Chatbots RE24.06</t>
  </si>
  <si>
    <t>[GEP-DAT-COM] - Ajustes Carteiras</t>
  </si>
  <si>
    <t>[GEP-DAT-COM] - Validação Clientes Ativos</t>
  </si>
  <si>
    <t>[GEP-DAT-COM] - Vendas Futuras</t>
  </si>
  <si>
    <t>[GEP-DAT-COM] - Vendas Radios (Pulsar / Informa)</t>
  </si>
  <si>
    <t>[GEP-DAT-COM] Ingestão SISCOM - Google BQ</t>
  </si>
  <si>
    <t>[GEP-DAT-COM|BKL] Commercial Domain | Backlog</t>
  </si>
  <si>
    <t>[GEP-DAT-COM|BKLG] Backlog Road Map</t>
  </si>
  <si>
    <t>[GEP-DAT-COM|BKLG] ELT - Clientes</t>
  </si>
  <si>
    <t>[GEP-DAT-COM|BKLG] Integration &amp; Interoperability (DII) | BKLG</t>
  </si>
  <si>
    <t>[GEP-DAT-COM|RE24.03] Commercial Domain | Release 24.03</t>
  </si>
  <si>
    <t>[GEP-DAT-COM|RE24.06] Commercial Domain | Release 31.12.25</t>
  </si>
  <si>
    <t>[GEP-DAT-COM|RE24.06] Integration &amp; Interoperability (DII)</t>
  </si>
  <si>
    <t>[GEP-DAT-COM|RE24.06] Storage &amp; Operations</t>
  </si>
  <si>
    <t>[GEP-DAT-DPT|RE24] - EP Tickets Evolução</t>
  </si>
  <si>
    <t>BRUNO MASCARO WOTH</t>
  </si>
  <si>
    <t>[GEP-DAT-DPT|RE24] - Menetização Produto</t>
  </si>
  <si>
    <t>[GEP-DAT-DPT|RE24] DataProduct | Release 2024 (RE24)</t>
  </si>
  <si>
    <t>[GEP-DAT-FIN] BI - Aplicações / Painel de Caixa</t>
  </si>
  <si>
    <t>[GEP-DAT-FIN|RE3112] Financial Domain | Release 31-12</t>
  </si>
  <si>
    <t>[GEP-DAT-GOV|RE25] Governance | Release 2024 (RE25)</t>
  </si>
  <si>
    <t>[GEP-DAT-JOR] Jornalism Domain | Release 12.25</t>
  </si>
  <si>
    <t>[GEP-DAT-JOR] Marketing Domain | Release 12.25</t>
  </si>
  <si>
    <t>[GEP-DAT-JOR|RE24.12] - IA/ML/Visualizações Preditivas</t>
  </si>
  <si>
    <t>[GEP-DAT-JOR|RE24.12] Bases GA4</t>
  </si>
  <si>
    <t>[GEP-DAT-JOR|RE24.12] Unificação das bases GA4</t>
  </si>
  <si>
    <t>[GEP-DAT-OPS[RE24] - Data Catalog</t>
  </si>
  <si>
    <t>[GEP-DAT-OPS|RE24] - Comitê de Dados</t>
  </si>
  <si>
    <t>[GEP-DAT-OPS|RE24] - DataMashs</t>
  </si>
  <si>
    <t>[GEP-DAT-OPS|RE24] - Levantamento Sistemas Grupo EP</t>
  </si>
  <si>
    <t>[GEP-DAT-OPS|RE24] DataOps | RE24</t>
  </si>
  <si>
    <t>wesley.silveira</t>
  </si>
  <si>
    <t>[GEP-DAT-OPS|RE24] Deploy</t>
  </si>
  <si>
    <t>[GEP-DAT-OPS|RE24] Sustentação</t>
  </si>
  <si>
    <t>LEONARDO BRUNO RODRIGUES</t>
  </si>
  <si>
    <t>[GEP-DAT-PGM|RE24.03] Migração de Dados GA Universal</t>
  </si>
  <si>
    <t>[GEP-DAT-PGM|RE24.03] Relatorio Jornalismo - Conteudo vs. Audiencia</t>
  </si>
  <si>
    <t>Impedida</t>
  </si>
  <si>
    <t>[GEP-DAT-PGM|RE31.12] Programation Domain</t>
  </si>
  <si>
    <t>[GEP-DAT-PRA|RE24|] Painel estratégico</t>
  </si>
  <si>
    <t>[GEP-DAT-RHU] - Calendario Coorporativo</t>
  </si>
  <si>
    <t>[GEP-DAT-RHU|BKLG] ETL - Folha de Pagamento</t>
  </si>
  <si>
    <t>[GEP-DAT-RHU|BKLG] Human Resources Domain | Release 2025</t>
  </si>
  <si>
    <t>[GEP-DAT-RHU|BKLG] Integration &amp; Interoperability</t>
  </si>
  <si>
    <t>[GEP-DAT-RHU|RE23.03] ELT -Movimentações</t>
  </si>
  <si>
    <t>[GEP-DAT-SE|RE24.03] Comercial</t>
  </si>
  <si>
    <t>[GEP-DAT-SE|RE24.03] Financeiro</t>
  </si>
  <si>
    <t>[GEP-DAT-SE|RE24.03] Marketing</t>
  </si>
  <si>
    <t>[GEP-DAT-SE|RE24.03] PGM</t>
  </si>
  <si>
    <t>[GEP-DAT-SE|RE24.03] RH</t>
  </si>
  <si>
    <t>[GEP-DAT-SUS] - Onbording Lais</t>
  </si>
  <si>
    <t>[GEP-DAT-SUS] Data Support</t>
  </si>
  <si>
    <t>[GEP-DAT-SUS] Documentação</t>
  </si>
  <si>
    <t>[GEP-DAT-SUS] Levantamento Documentação Existente</t>
  </si>
  <si>
    <t>[GEP-DAT-SUS] Onboarding</t>
  </si>
  <si>
    <t>[GEP-ELT-VF] - Elaboração Especificação Tecnica</t>
  </si>
  <si>
    <t>[JOR-MD-ELT] Ingestão Base de Dados</t>
  </si>
  <si>
    <t>[JOR-MD-PBI] Criação de Indicadores e Relatorio</t>
  </si>
  <si>
    <t>[DAT-SUS-PGM]  Boletim EPTV</t>
  </si>
  <si>
    <t>[DAT-SUS-PGM] - Sustentação</t>
  </si>
  <si>
    <t>Analytics</t>
  </si>
  <si>
    <t>Falha: RHU - Carga Standard</t>
  </si>
  <si>
    <t>IA / ML / RPA</t>
  </si>
  <si>
    <t>Validação ambiente RH</t>
  </si>
  <si>
    <t>Catálogo de Reports - Dados</t>
  </si>
  <si>
    <t>Relatório</t>
  </si>
  <si>
    <t>Ação</t>
  </si>
  <si>
    <t>Status atualizado</t>
  </si>
  <si>
    <t>Ano</t>
  </si>
  <si>
    <t>Hora Atualização</t>
  </si>
  <si>
    <t>Cluster de Hora</t>
  </si>
  <si>
    <t>Período de Atualização</t>
  </si>
  <si>
    <t>Refresh</t>
  </si>
  <si>
    <t>Frequencia Atualização</t>
  </si>
  <si>
    <t>Contato Cliente</t>
  </si>
  <si>
    <t>Contato cliente atualizado</t>
  </si>
  <si>
    <t>WS</t>
  </si>
  <si>
    <t>link relatório</t>
  </si>
  <si>
    <t>Link PBIX</t>
  </si>
  <si>
    <t>Energia_GrupoEP_V4</t>
  </si>
  <si>
    <t>Manter</t>
  </si>
  <si>
    <t>Publicado</t>
  </si>
  <si>
    <t>25/03/2026</t>
  </si>
  <si>
    <t>14:03</t>
  </si>
  <si>
    <t>Automático</t>
  </si>
  <si>
    <t>N/A</t>
  </si>
  <si>
    <t>RAFAEL DE OLIVEIRA GOMES</t>
  </si>
  <si>
    <t>Lucas Cabrini</t>
  </si>
  <si>
    <t>wks-pbi-adm-prd</t>
  </si>
  <si>
    <t>https://app.powerbi.com/groups/838a4381-6a88-4235-a361-df7349246528/reports/d058aaa0-015c-49b5-8e02-ee46ae311135/ReportSectiond7342d1aaff24c9ab1d6?experience=power-bi</t>
  </si>
  <si>
    <t>Indicadores de Frotas - ok</t>
  </si>
  <si>
    <t>Descontinuado</t>
  </si>
  <si>
    <t>Erro</t>
  </si>
  <si>
    <t>14:46</t>
  </si>
  <si>
    <t>Manual</t>
  </si>
  <si>
    <t>https://app.powerbi.com/groups/838a4381-6a88-4235-a361-df7349246528/reports/c3799651-2168-41e3-9fc8-ad087e924608/ReportSection?experience=power-bi</t>
  </si>
  <si>
    <t>Indicadores de Frotas _V4</t>
  </si>
  <si>
    <t>https://app.powerbi.com/groups/838a4381-6a88-4235-a361-df7349246528/reports/d8edef05-492d-4671-bda2-33140c87cf66/ReportSection?experience=power-bi</t>
  </si>
  <si>
    <t>Painel Compras</t>
  </si>
  <si>
    <t>LUCAS SILVA SPESSOTO</t>
  </si>
  <si>
    <t>wks-pbi-buy-prd</t>
  </si>
  <si>
    <t>https://app.powerbi.com/groups/3ed8daac-5cc7-47f5-b4f3-adfe6deaacc7/reports/c649b5a6-e884-459b-a12f-3df45ec454ba/5a4150d11bfee93f77ff?experience=power-bi</t>
  </si>
  <si>
    <t>Painel Contratos</t>
  </si>
  <si>
    <t>04/01/2026</t>
  </si>
  <si>
    <t>11:53</t>
  </si>
  <si>
    <t>https://app.powerbi.com/groups/3ed8daac-5cc7-47f5-b4f3-adfe6deaacc7/reports/9db99cc0-40fa-4283-b025-0a489d0dedae/da12b02cfa49485b8e7e?experience=power-bi</t>
  </si>
  <si>
    <t>Painel Pagamentos</t>
  </si>
  <si>
    <t>Parado</t>
  </si>
  <si>
    <t>15:42</t>
  </si>
  <si>
    <t>https://app.powerbi.com/groups/3ed8daac-5cc7-47f5-b4f3-adfe6deaacc7/reports/4549ddab-b6ef-43cc-83e2-27a747ff31ae/4fc3134bfe06f0673610?experience=power-bi</t>
  </si>
  <si>
    <t>Painel Painéis Rodoviários</t>
  </si>
  <si>
    <t>10:42</t>
  </si>
  <si>
    <t>https://app.powerbi.com/groups/3ed8daac-5cc7-47f5-b4f3-adfe6deaacc7/reports/77bac18c-0aff-447b-9337-ec3396fef41d/ff47f72423a2d37a51f5?experience=power-bi</t>
  </si>
  <si>
    <t>Análise Dados Whatsapp_DQ</t>
  </si>
  <si>
    <t>19:46</t>
  </si>
  <si>
    <t>wks-pbi-cex-prd</t>
  </si>
  <si>
    <t>https://app.powerbi.com/groups/e12eb10e-3ad3-4583-baa8-c1b72159e21c/reports/2bf938db-95ae-46c0-a339-00a38338d3ad/bd468b9111040080c465?experience=power-bi</t>
  </si>
  <si>
    <t>Análise Dados Whatsapp_DQ_v2</t>
  </si>
  <si>
    <t>19:47</t>
  </si>
  <si>
    <t>https://app.powerbi.com/groups/e12eb10e-3ad3-4583-baa8-c1b72159e21c/reports/0343661d-5eda-4a4d-9d20-a505fd47dae2/bd468b9111040080c465?experience=power-bi</t>
  </si>
  <si>
    <t>Análise de Desempenho Chatbot</t>
  </si>
  <si>
    <t>08:39</t>
  </si>
  <si>
    <t>BI Grupo EP</t>
  </si>
  <si>
    <t>Hugo Henrique Cardoso Santos</t>
  </si>
  <si>
    <t>https://app.powerbi.com/groups/e12eb10e-3ad3-4583-baa8-c1b72159e21c/reports/f1efa003-e9f6-4c09-9024-d554cffc39e0/ReportSection8a4ad52bccb83b84b7ab?experience=power-bi</t>
  </si>
  <si>
    <t>Performance Campanhas</t>
  </si>
  <si>
    <t>18/02/2026</t>
  </si>
  <si>
    <t>18:53</t>
  </si>
  <si>
    <t>Dataset (Análise de Desempenho Chatbot)</t>
  </si>
  <si>
    <t>https://app.powerbi.com/groups/e12eb10e-3ad3-4583-baa8-c1b72159e21c/reports/3034b08e-4cbf-410a-a48f-f88699c56aa7/ReportSection7dfde4cb4517317c37c8?experience=power-bi</t>
  </si>
  <si>
    <t>Acompanhamento Número Diário - Exibidora</t>
  </si>
  <si>
    <t>15:48</t>
  </si>
  <si>
    <t>CAIO SIQUEIRA NOVO</t>
  </si>
  <si>
    <t>wks-pbi-com-prd</t>
  </si>
  <si>
    <t>https://app.powerbi.com/groups/0b73efc3-c3cc-45f1-9240-519e55b13de5/reports/6cac744f-517b-4b2d-9b4a-6d134a29e855/ReportSection?experience=power-bi</t>
  </si>
  <si>
    <t>acompanhamento_comercial</t>
  </si>
  <si>
    <t>26/03/2026</t>
  </si>
  <si>
    <t>13:02</t>
  </si>
  <si>
    <t>Seg a Sex (09h00 AM)</t>
  </si>
  <si>
    <t>Stefani Espinosa</t>
  </si>
  <si>
    <t>https://app.powerbi.com/groups/0b73efc3-c3cc-45f1-9240-519e55b13de5/reports/d866895f-054d-4d28-b2cd-a823d56a437f/ReportSectionf4fb37d80c785054c4d7?experience=power-bi</t>
  </si>
  <si>
    <t>AdManager_Germanica</t>
  </si>
  <si>
    <t>Kamyle</t>
  </si>
  <si>
    <t>https://app.powerbi.com/groups/0b73efc3-c3cc-45f1-9240-519e55b13de5/reports/8dc30ba7-93f5-4bea-a099-1bc1f6893c18/a51969adacf1e9333da7?experience=power-bi</t>
  </si>
  <si>
    <t>atualizacao_tab_precos</t>
  </si>
  <si>
    <t>14:50</t>
  </si>
  <si>
    <t>https://app.powerbi.com/groups/0b73efc3-c3cc-45f1-9240-519e55b13de5/reports/4e1339f6-5518-4cee-98dc-7f5ff61b6793/f682ea996959ceced17a?experience=power-bi</t>
  </si>
  <si>
    <t>categorias_branco</t>
  </si>
  <si>
    <t>19:59</t>
  </si>
  <si>
    <t>https://app.powerbi.com/groups/0b73efc3-c3cc-45f1-9240-519e55b13de5/reports/5b2320e8-73a3-4ad3-b74e-af633d57ac44/e1440ed9aad71734e1de?experience=power-bi</t>
  </si>
  <si>
    <t>Dash_Merchan</t>
  </si>
  <si>
    <t>15:39</t>
  </si>
  <si>
    <t>https://app.powerbi.com/groups/0b73efc3-c3cc-45f1-9240-519e55b13de5/reports/db9b686d-3601-45ec-a521-baebd036a99b/ReportSection93b9c5a540070241d110?experience=power-bi</t>
  </si>
  <si>
    <t>desempenho_comercial</t>
  </si>
  <si>
    <t>13:04</t>
  </si>
  <si>
    <t>https://app.powerbi.com/groups/0b73efc3-c3cc-45f1-9240-519e55b13de5/reports/2afb6ada-d06d-4b08-99f6-43f2aa233dcf/ReportSection5e48ade135d1eebedc68?experience=power-bi</t>
  </si>
  <si>
    <t>desempenho_comercial_dev_v1.1.0</t>
  </si>
  <si>
    <t>16:53</t>
  </si>
  <si>
    <t>https://app.powerbi.com/groups/0b73efc3-c3cc-45f1-9240-519e55b13de5/reports/173231fb-49f8-4548-89e7-6a93f3d631be/ReportSection?experience=power-bi</t>
  </si>
  <si>
    <t>mapa_calor_cidades</t>
  </si>
  <si>
    <t>23/03/2026</t>
  </si>
  <si>
    <t>11:07</t>
  </si>
  <si>
    <t>Seg a Sex (08h00 AM)</t>
  </si>
  <si>
    <t>https://app.powerbi.com/groups/0b73efc3-c3cc-45f1-9240-519e55b13de5/reports/2175a380-1701-488d-b49f-7d64ce213be1/6780d7a390ce00eed033?experience=power-bi</t>
  </si>
  <si>
    <t>mapa_cnaes</t>
  </si>
  <si>
    <t>https://app.powerbi.com/groups/0b73efc3-c3cc-45f1-9240-519e55b13de5/reports/e8bdb7c9-13de-4a14-a22a-89571f078e8d/5ef9380866af99e6f646?experience=power-bi</t>
  </si>
  <si>
    <t>Monitoramento Em Desenvolvimento v3</t>
  </si>
  <si>
    <t>07:00</t>
  </si>
  <si>
    <t>https://app.powerbi.com/groups/0b73efc3-c3cc-45f1-9240-519e55b13de5/reports/042117a0-d77e-4ebc-b746-e6347c237862/ReportSection3acf047a91221556068a?experience=power-bi</t>
  </si>
  <si>
    <t>Monitoramento Mercado Publicitário</t>
  </si>
  <si>
    <t>https://app.powerbi.com/groups/0b73efc3-c3cc-45f1-9240-519e55b13de5/reports/443cb954-f369-4809-88bd-a164b0533d5d/ReportSection3acf047a91221556068a?experience=power-bi</t>
  </si>
  <si>
    <t>monitoramento_crowley</t>
  </si>
  <si>
    <t>JORGE KENDI NAKANO</t>
  </si>
  <si>
    <t>https://app.powerbi.com/groups/0b73efc3-c3cc-45f1-9240-519e55b13de5/reports/75c1d0a3-633a-4664-a63d-db4af4da3054/ReportSection3bedbf2a4d8846e049a4?experience=power-bi</t>
  </si>
  <si>
    <t>monitoramento_mercado_publicitario_v2</t>
  </si>
  <si>
    <t>https://app.powerbi.com/groups/0b73efc3-c3cc-45f1-9240-519e55b13de5/reports/8ad3ce2b-ffef-4bfc-be73-332bc52cf050/7cc0a6e2748e7d68eb0f?experience=power-bi</t>
  </si>
  <si>
    <t>painel_executivos</t>
  </si>
  <si>
    <t>19/02/2026</t>
  </si>
  <si>
    <t>11:39</t>
  </si>
  <si>
    <t>https://app.powerbi.com/groups/0b73efc3-c3cc-45f1-9240-519e55b13de5/reports/c9168679-b7c7-42fa-b5b5-5e2685f04089/56bbb6ba9a712ac970b2?experience=power-bi</t>
  </si>
  <si>
    <t>Previsao_PBI</t>
  </si>
  <si>
    <t>02/03/2026</t>
  </si>
  <si>
    <t>12:01</t>
  </si>
  <si>
    <t>TASSIA CRISTINA PINTO</t>
  </si>
  <si>
    <t>https://app.powerbi.com/groups/0b73efc3-c3cc-45f1-9240-519e55b13de5/reports/660a214f-c80f-4fca-9b0b-0e9206688116/ReportSection05fa94f7faf2f2033289?experience=power-bi</t>
  </si>
  <si>
    <t>Vendas Multimeios</t>
  </si>
  <si>
    <t>12:08</t>
  </si>
  <si>
    <t>https://app.powerbi.com/groups/0b73efc3-c3cc-45f1-9240-519e55b13de5/reports/a5dc3af9-6577-4906-9fb9-38cb60c3b878/ReportSection?experience=power-bi</t>
  </si>
  <si>
    <t>vendas_tv_global</t>
  </si>
  <si>
    <t>https://app.powerbi.com/groups/0b73efc3-c3cc-45f1-9240-519e55b13de5/reports/73579a6e-d9b5-4ced-ac6a-b30c33907187/ReportSection?experience=power-bi</t>
  </si>
  <si>
    <t>acompanhamento_crm_360</t>
  </si>
  <si>
    <t>11:12</t>
  </si>
  <si>
    <t>https://app.powerbi.com/groups/0b73efc3-c3cc-45f1-9240-519e55b13de5/reports/17b0e2a5-ccb9-40ca-9847-ce0bc916a346/95a1ad5d7cc1941e605c?experience=power-bi</t>
  </si>
  <si>
    <t>Calendário Corporativo PBI</t>
  </si>
  <si>
    <t>10:36</t>
  </si>
  <si>
    <t>Seg a Sex (5 AM / 1 PM)</t>
  </si>
  <si>
    <t>CAROLINA PAZINATO</t>
  </si>
  <si>
    <t>wks-pbi-corp-public-prd</t>
  </si>
  <si>
    <t>https://app.powerbi.com/groups/43774005-3ad4-4a71-a12c-c70f24edf487/reports/6f5b4d09-1f91-4f25-83cf-a61b246e0f73/ReportSection85ac17efa0c8bfd8a61b?experience=power-bi</t>
  </si>
  <si>
    <t>EP_Tickets</t>
  </si>
  <si>
    <t>21/10/2024</t>
  </si>
  <si>
    <t>10:43</t>
  </si>
  <si>
    <t>Otaviano</t>
  </si>
  <si>
    <t>wks-pbi-fin-prd</t>
  </si>
  <si>
    <t>https://app.powerbi.com/groups/fad50932-b25d-41c1-b165-1c1d0af6b5ad/reports/70611264-0a4b-441b-9b9d-af6c747d950d/ReportSection?experience=power-bi</t>
  </si>
  <si>
    <t>sumario_executivo_prd</t>
  </si>
  <si>
    <t>05/03/2026</t>
  </si>
  <si>
    <t>18:29</t>
  </si>
  <si>
    <t>?</t>
  </si>
  <si>
    <t>wks-pbi-dir-prd</t>
  </si>
  <si>
    <t>https://app.powerbi.com/groups/6d38c256-3ede-43cc-83c5-3510a3e6bc0c/reports/85c77c92-a419-401c-bbba-fc325dd54792/8dd33efa2054a907125c?experience=power-bi</t>
  </si>
  <si>
    <t>Painel de Caixa</t>
  </si>
  <si>
    <t>18:07</t>
  </si>
  <si>
    <t>Seg a Sex (14h00 PM)</t>
  </si>
  <si>
    <t>https://app.powerbi.com/groups/fad50932-b25d-41c1-b165-1c1d0af6b5ad/reports/0043bf98-4562-4f5f-8147-7876e1eead23/ReportSectionaf5bb3f07064d5d02b85?experience=power-bi</t>
  </si>
  <si>
    <t>Painel de Caixa Acionistas</t>
  </si>
  <si>
    <t>Dataset (Painel de Caixa)</t>
  </si>
  <si>
    <t>https://app.powerbi.com/groups/fad50932-b25d-41c1-b165-1c1d0af6b5ad/reports/0d699623-dbe8-4dc9-b358-708e693eefda/ReportSection6acb9ceebed1f3bfc770?experience=power-bi</t>
  </si>
  <si>
    <t>Resultado_Eventos_v01</t>
  </si>
  <si>
    <t>16:31</t>
  </si>
  <si>
    <t>MARILENE ALVES MARTINS PIRES</t>
  </si>
  <si>
    <t>https://app.powerbi.com/groups/fad50932-b25d-41c1-b165-1c1d0af6b5ad/reports/f6ab3336-974c-4092-915d-6385c8aa7e9f/ReportSection?experience=power-bi</t>
  </si>
  <si>
    <t>Resumo Investimentos</t>
  </si>
  <si>
    <t>14:35</t>
  </si>
  <si>
    <t>PRISCILA FREDERICO SILVA FERNANDES</t>
  </si>
  <si>
    <t>https://app.powerbi.com/groups/fad50932-b25d-41c1-b165-1c1d0af6b5ad/reports/286ec12f-9f1a-4d17-99ed-93fefd19ffa3/ReportSectionb2f5ee7af6690314adf8?experience=power-bi</t>
  </si>
  <si>
    <t>Painel de Vendas</t>
  </si>
  <si>
    <t>05/11/2025</t>
  </si>
  <si>
    <t>14:38</t>
  </si>
  <si>
    <t>https://app.powerbi.com/groups/fad50932-b25d-41c1-b165-1c1d0af6b5ad/reports/abcb24cc-551b-437f-8beb-c7c0609d8e4f/ReportSection687b59ba95a4704a3060?experience=power-bi</t>
  </si>
  <si>
    <t>Sumario Executivo Verticais</t>
  </si>
  <si>
    <t>https://app.powerbi.com/groups/fad50932-b25d-41c1-b165-1c1d0af6b5ad/reports/f82d75a0-5f3d-4fb5-aef6-c126e0343e73/085031f247a4519793b2?experience=power-bi</t>
  </si>
  <si>
    <t>painel_ga3_dev_01</t>
  </si>
  <si>
    <t>Kamyle Garcia Motta</t>
  </si>
  <si>
    <t>wks-pbi-jor-prd</t>
  </si>
  <si>
    <t>https://app.powerbi.com/groups/571a4a31-79dc-4124-91a1-4130706f9cc2/reports/83ea662b-2b13-4b5c-8892-f5bf2fc467f4/52cfb4860c86c810203d?experience=power-bi</t>
  </si>
  <si>
    <t>painel_ga3_Esp_Publi</t>
  </si>
  <si>
    <t>11:02</t>
  </si>
  <si>
    <t>https://app.powerbi.com/groups/571a4a31-79dc-4124-91a1-4130706f9cc2/reports/c931bc47-def5-40bf-bbf7-a95af64a8d70/4b81ef72c980610b7d04?experience=power-bi</t>
  </si>
  <si>
    <t>CALENDARIOJORNALISMO</t>
  </si>
  <si>
    <t>18:30</t>
  </si>
  <si>
    <t>https://app.powerbi.com/groups/571a4a31-79dc-4124-91a1-4130706f9cc2/reports/2e7f3edf-a20e-4e06-95b2-2c723eada0cd/18815937573722a722a0?experience=power-bi</t>
  </si>
  <si>
    <t>Calendário de Programação_2025</t>
  </si>
  <si>
    <t>08:10</t>
  </si>
  <si>
    <t>Seg a Sex (12x)</t>
  </si>
  <si>
    <t>Wagner Donisete Francisco</t>
  </si>
  <si>
    <t>wks-pbi-pgm-prd</t>
  </si>
  <si>
    <t>https://app.powerbi.com/groups/1abc4333-9f61-43db-8926-59ed05976d2a/reports/39bfe539-818e-4539-aef2-ffe90caa3280/ec43ef27269c990dc49b?experience=power-bi</t>
  </si>
  <si>
    <t>Painel Estratégico de Publicações Comérciais</t>
  </si>
  <si>
    <t>Seg, Qua e Sex (7h30 AM)</t>
  </si>
  <si>
    <t>wks-pbi-mid-prd</t>
  </si>
  <si>
    <t>https://app.powerbi.com/groups/13087102-ad42-4b34-8c98-67d29e2c4751/reports/1e2312ee-888e-487a-a76a-886a22826f3e?experience=power-bi</t>
  </si>
  <si>
    <t>mensuração_mkt</t>
  </si>
  <si>
    <t>13:09</t>
  </si>
  <si>
    <t>Seg a Sex (6x)</t>
  </si>
  <si>
    <t>Caio Maciel</t>
  </si>
  <si>
    <t>wks-pbi-mkt-prd</t>
  </si>
  <si>
    <t>https://app.powerbi.com/groups/35450d52-832b-4557-98f5-f2f88da17c40/reports/55619e5f-743c-4f9b-b28e-2cb54d1af00b/85ea98cc438ee0202140?experience=power-bi</t>
  </si>
  <si>
    <t>Desempenho - Entretenimento</t>
  </si>
  <si>
    <t>17:09</t>
  </si>
  <si>
    <t>DataSet (Programação_v2)</t>
  </si>
  <si>
    <t>Fabiana Teixeira</t>
  </si>
  <si>
    <t>https://app.powerbi.com/groups/1abc4333-9f61-43db-8926-59ed05976d2a/reports/32e46cf2-0530-48ca-aa6e-d981dd710314/ReportSectionae9df3a80b23d6686b7a?experience=power-bi</t>
  </si>
  <si>
    <t>Desempenho - Jornalismo Local</t>
  </si>
  <si>
    <t>Gabi Delman</t>
  </si>
  <si>
    <t>https://app.powerbi.com/groups/1abc4333-9f61-43db-8926-59ed05976d2a/reports/6a993279-54aa-4acc-9a66-0cbb9670487c/ReportSection5c3c41652098d26f5d6d?experience=power-bi</t>
  </si>
  <si>
    <t>Desempenho Programação</t>
  </si>
  <si>
    <t>Larissa Gonzalez</t>
  </si>
  <si>
    <t>https://app.powerbi.com/groups/1abc4333-9f61-43db-8926-59ed05976d2a/reports/58e539c5-41f3-48d2-911b-b91404486c8c/ReportSectione422266aff923aca481a?experience=power-bi</t>
  </si>
  <si>
    <t>Grade Diária</t>
  </si>
  <si>
    <t>https://app.powerbi.com/groups/1abc4333-9f61-43db-8926-59ed05976d2a/reports/eb3b6148-00b4-4ad0-8add-186c3aaedb89/ReportSectiondccb177ad62134478163?experience=power-bi</t>
  </si>
  <si>
    <t>Painel Gerencial - Redes Sociais</t>
  </si>
  <si>
    <t>19:31</t>
  </si>
  <si>
    <t>https://app.powerbi.com/groups/1abc4333-9f61-43db-8926-59ed05976d2a/reports/fd9bc447-4f1b-4c7e-9182-aaf43bfce41b/afee19552b557534b775?experience=power-bi</t>
  </si>
  <si>
    <t>Grade_Diaria_v.2</t>
  </si>
  <si>
    <t>https://app.powerbi.com/groups/1abc4333-9f61-43db-8926-59ed05976d2a/reports/730f1ad5-69cc-430b-8d7d-226962a20d0c/ReportSection4516f98afd89055ba1f5?experience=power-bi</t>
  </si>
  <si>
    <t>Censo_EPTV</t>
  </si>
  <si>
    <t>09:22</t>
  </si>
  <si>
    <t>wks-pbi-rhu-prd</t>
  </si>
  <si>
    <t>https://app.powerbi.com/groups/4963782d-ca3c-4507-9fc1-6cfe1216c285/reports/9b292a91-e920-4525-b44d-25968d3f34a5/ReportSectionb81c2830416602600cb8?experience=power-bi</t>
  </si>
  <si>
    <t>Painel Gerencial - Promo e Ativação</t>
  </si>
  <si>
    <t>09/02/2026</t>
  </si>
  <si>
    <t>12:04</t>
  </si>
  <si>
    <t>Seg a Sex (3x)</t>
  </si>
  <si>
    <t>https://app.powerbi.com/groups/1abc4333-9f61-43db-8926-59ed05976d2a/reports/559651aa-4709-489f-ae97-867ede4f7bbb/daeb4442b942000c4854?experience=power-bi</t>
  </si>
  <si>
    <t>powerbi_relatorios</t>
  </si>
  <si>
    <t>11:06</t>
  </si>
  <si>
    <t>Seg (11h00 AM)</t>
  </si>
  <si>
    <t>wks-pbi-ret-prd</t>
  </si>
  <si>
    <t>https://app.powerbi.com/groups/c8250554-3e79-46cd-a860-7005e77301b1/reports/58f9a40f-c044-45a9-8c4a-5da479689b03/ReportSection?experience=power-bi</t>
  </si>
  <si>
    <t>Orçamento_2026</t>
  </si>
  <si>
    <t>17:23</t>
  </si>
  <si>
    <t>ALEXANDRE DE OLIVEIRA</t>
  </si>
  <si>
    <t>Mariane dias + Alexandre</t>
  </si>
  <si>
    <t>https://app.powerbi.com/groups/4963782d-ca3c-4507-9fc1-6cfe1216c285/list?experience=power-bi</t>
  </si>
  <si>
    <t>painel_pessoas_prd_v1.1.0.pbix</t>
  </si>
  <si>
    <t>12:25</t>
  </si>
  <si>
    <t>https://app.powerbi.com/groups/4963782d-ca3c-4507-9fc1-6cfe1216c285/reports/d20476d2-f678-40c4-99d5-f27aaa535138/ReportSectione66ac756b1304c690004?experience=power-bi</t>
  </si>
  <si>
    <t>PoC_Desempenho_Campanhas_dev</t>
  </si>
  <si>
    <t>wks-pbi-afi-dev</t>
  </si>
  <si>
    <t>https://app.powerbi.com/groups/a969136c-75ac-402a-99bf-7eca93e2de6b/reports/af22a1d9-aae5-4872-a9ce-9a752702fed4/ReportSection812f27afaad55ecf9307?experience=power-bi</t>
  </si>
  <si>
    <t>Remuneração_BI</t>
  </si>
  <si>
    <t>24/03/2026</t>
  </si>
  <si>
    <t>12:23</t>
  </si>
  <si>
    <t>https://app.powerbi.com/groups/4963782d-ca3c-4507-9fc1-6cfe1216c285/reports/35586091-98d5-49c7-9cb9-b3becacca903/e5d37329ce878c734bbb?experience=power-bi</t>
  </si>
  <si>
    <t>Unidade_Eventos</t>
  </si>
  <si>
    <t>22/12/2025</t>
  </si>
  <si>
    <t>19:06</t>
  </si>
  <si>
    <t>FELIPE MONTE BARBOSA</t>
  </si>
  <si>
    <t>wks-pbi-TI-prd</t>
  </si>
  <si>
    <t>https://app.powerbi.com/groups/bd03572a-f34d-4ff6-9bb4-541d4ab5118c/reports/19aff478-11d2-4b6a-be42-360b0b60f8f2/ReportSectionda070571d4e0ce8838c1?experience=power-bi</t>
  </si>
  <si>
    <t>07:14</t>
  </si>
  <si>
    <t>Manhã</t>
  </si>
  <si>
    <t>Comentário</t>
  </si>
  <si>
    <t>DONE</t>
  </si>
  <si>
    <t>Em andamento</t>
  </si>
  <si>
    <t>Pular pois não temos com quem falar! Problema no gateway</t>
  </si>
  <si>
    <t>Aguardando Acesso a Pasta da equipe PGM para adicionarmos a Pasta "FOTOS_COLABORADORES"</t>
  </si>
  <si>
    <t>Catálogo de Reports - Monitoramento Diário</t>
  </si>
  <si>
    <t>OK</t>
  </si>
  <si>
    <t>Data</t>
  </si>
  <si>
    <t>Weekday</t>
  </si>
  <si>
    <t>Painel Estratégico de Publicações Comerciais</t>
  </si>
  <si>
    <t>Segunda-feira</t>
  </si>
  <si>
    <t>Terça-feira</t>
  </si>
  <si>
    <t>Quarta-feira</t>
  </si>
  <si>
    <t>Quinta-feira</t>
  </si>
  <si>
    <t>Sexta-feira</t>
  </si>
  <si>
    <t>.</t>
  </si>
  <si>
    <t>Count of Relatório</t>
  </si>
  <si>
    <t>Column Labels</t>
  </si>
  <si>
    <t>Row Labels</t>
  </si>
  <si>
    <t>Grand Total</t>
  </si>
  <si>
    <t>(All)</t>
  </si>
  <si>
    <t>Noite</t>
  </si>
  <si>
    <t>Tarde</t>
  </si>
  <si>
    <t>07</t>
  </si>
  <si>
    <t>08</t>
  </si>
  <si>
    <t>09</t>
  </si>
  <si>
    <t>10</t>
  </si>
  <si>
    <t>11</t>
  </si>
  <si>
    <t>14</t>
  </si>
  <si>
    <t>15</t>
  </si>
  <si>
    <t>16</t>
  </si>
  <si>
    <t>17</t>
  </si>
  <si>
    <t>19</t>
  </si>
  <si>
    <t>Count of WS</t>
  </si>
  <si>
    <t>Dev</t>
  </si>
  <si>
    <t>Hml</t>
  </si>
  <si>
    <t>Prd</t>
  </si>
  <si>
    <t>Stg</t>
  </si>
  <si>
    <t>Sum of Modelo Semanticos</t>
  </si>
  <si>
    <t>Cluster URI: WABI-BRAZIL-SOUTH-B-PRIMARY-redirect.analysis.windows.net
ID da atividade: f90d5762-0f6e-4bf4-86ad-0e4f60a25ebe
Solicitar ID: 7bb78b61-6c50-4001-95bf-96fdcdd97af3
Hora: 2025-10-31 23:18:34Z</t>
  </si>
  <si>
    <t>Erro de preenchimento de dados (não é erro nosso)</t>
  </si>
  <si>
    <t>Cluster URI: WABI-BRAZIL-SOUTH-B-PRIMARY-redirect.analysis.windows.net
ID da atividade: 171f9bad-8c12-4846-9854-1adefb3567b4
Solicitar ID: 4025a73d-dd6d-4d20-80a5-e3166924c50e
Hora: 2026-02-07 11:42:25Z</t>
  </si>
  <si>
    <t>OKKK</t>
  </si>
  <si>
    <t>Cluster URI: WABI-BRAZIL-SOUTH-B-PRIMARY-redirect.analysis.windows.net
ID da atividade: 1f3dbc6c-f8e7-4e5b-a5a9-1207cc32a52f
Solicitar ID: ac6807c8-c54e-4d39-aa99-b6ae659e356c
Hora: 2026-02-14 23:07:28Z</t>
  </si>
  <si>
    <t>Erro de fonte de dados: {"error":{"code":"DM_GWPipeline_Gateway_MashupDataAccessError","pbi.error":{"code":"DM_GWPipeline_Gateway_MashupDataAccessError","parameters":{},"details":[{"code":"DM_ErrorDetailNameCode_UnderlyingErrorCode","detail":{"type":1,"value":"-2147467259"}},{"code":"DM_ErrorDetailNameCode_UnderlyingErrorMessage","detail":{"type":1,"value":"The field 'cpfCnpj' already exists in the record."}},{"code":"DM_ErrorDetailNameCode_UnderlyingHResult","detail":{"type":1,"value":"-2147467259"}},{"code":"Microsoft.Data.Mashup.ValueError.Name","detail":{"type":1,"value":"cpfCnpj"}},{"code":"Microsoft.Data.Mashup.ValueError.Reason","detail":{"type":1,"value":"Expression.Error"}}],"exceptionCulprit":1}}}
Cluster URI: WABI-BRAZIL-SOUTH-B-PRIMARY-redirect.analysis.windows.net
ID da atividade: e5918acf-6727-41fb-903e-fbe2539ee637
Solicitar ID: e097df06-b574-81ca-c595-729024dd4cb7
Hora: 2026-02-09 12:27:00Z</t>
  </si>
  <si>
    <t>okk</t>
  </si>
  <si>
    <t>Erro de fonte de dados: {"error":{"code":"DM_GWPipeline_Gateway_InvalidConnectionCredentials","pbi.error":{"code":"DM_GWPipeline_Gateway_InvalidConnectionCredentials","parameters":{},"details":[{"code":"DM_ErrorDetailNameCode_UnderlyingErrorCode","detail":{"type":1,"value":"-2147467259"}},{"code":"DM_ErrorDetailNameCode_UnderlyingErrorMessage","detail":{"type":1,"value":"The credentials provided for the SharePoint source are invalid. (Source at https://empresaspioneiras.sharepoint.com/sites/MeusRelatriosPBI.)"}},{"code":"DM_ErrorDetailNameCode_UnderlyingHResult","detail":{"type":1,"value":"-2147467259"}},{"code":"Microsoft.Data.Mashup.CredentialError.DataSourceKind","detail":{"type":1,"value":"SharePoint"}},{"code":"Microsoft.Data.Mashup.CredentialError.DataSourceOriginKind","detail":{"type":1,"value":"SharePoint"}},{"code":"Microsoft.Data.Mashup.CredentialError.DataSourceOriginPath","detail":{"type":1,"value":"https://empresaspioneiras.sharepoint.com/sites/MeusRelatriosPBI"}},{"code":"Microsoft.Data.Mashup.CredentialError.DataSourcePath","detail":{"type":1,"value":"https://empresaspioneiras.sharepoint.com/sites/MeusRelatriosPBI"}},{"code":"Microsoft.Data.Mashup.CredentialError.Reason","detail":{"type":1,"value":"AccessUnauthorized"}},{"code":"Microsoft.Data.Mashup.MashupSecurityException.DataSources","detail":{"type":1,"value":"[{\"kind\":\"SharePoint\",\"path\":\"https://empresaspioneiras.sharepoint.com/sites/MeusRelatriosPBI\"}]"}},{"code":"Microsoft.Data.Mashup.MashupSecurityException.Reason","detail":{"type":1,"value":"AccessUnauthorized"}}],"exceptionCulprit":1}}}
Cluster URI: WABI-BRAZIL-SOUTH-B-PRIMARY-redirect.analysis.windows.net
ID da atividade: 7dbe916a-1534-488d-9767-97e92e962db5
Solicitar ID: 70712f8a-367e-968a-2436-4c9bcf3b7a41
Hora: 2026-02-19 11:29:56Z</t>
  </si>
  <si>
    <t>Erro de fonte de dados: {"error":{"code":"DM_GWPipeline_Gateway_MashupDataAccessError","pbi.error":{"code":"DM_GWPipeline_Gateway_MashupDataAccessError","parameters":{},"details":[{"code":"DM_ErrorDetailNameCode_UnderlyingErrorCode","detail":{"type":1,"value":"-2147467259"}},{"code":"DM_ErrorDetailNameCode_UnderlyingErrorMessage","detail":{"type":1,"value":"The field 'cpfCnpj' already exists in the record."}},{"code":"DM_ErrorDetailNameCode_UnderlyingHResult","detail":{"type":1,"value":"-2147467259"}},{"code":"Microsoft.Data.Mashup.ValueError.Name","detail":{"type":1,"value":"cpfCnpj"}},{"code":"Microsoft.Data.Mashup.ValueError.Reason","detail":{"type":1,"value":"Expression.Error"}}],"exceptionCulprit":1}}}
Cluster URI: WABI-BRAZIL-SOUTH-B-PRIMARY-redirect.analysis.windows.net
ID da atividade: 16e5b373-9551-3081-14d5-ddb9b8c13d13
Solicitar ID: ca38633f-14c3-d0e0-2339-b169fc8167f7
Hora: 2026-02-18 18:16:41Z</t>
  </si>
  <si>
    <t>Erro de processamento: O gateway de dados está offline ou não pôde ser acessado. Verifique se o computador com o gateway em execução está ativado durante o período de atualização.
Cluster URI: WABI-BRAZIL-SOUTH-B-PRIMARY-redirect.analysis.windows.net
ID da atividade: 84ca674a-612b-45fe-acf7-b78be20222d7
Solicitar ID: db13c8c6-9eda-4112-a1e7-dfbdd2c70b11
Hora: 2026-02-20 10:06:38Z</t>
  </si>
  <si>
    <t>Erro de processamento: Não é possível acessar algumas fontes de dados porque o artefato não tem os detalhes da conexão. Entre em contato com o proprietário do artefato para associar a fonte de dados a uma conexão de dados ou use as configurações de conexão padrão para a fonte de dados não associada.
Cluster URI: WABI-BRAZIL-SOUTH-B-PRIMARY-redirect.analysis.windows.net
ID da atividade: 41b03c74-2e73-41f1-9fa5-938be7536549
Solicitar ID: 888f6322-3beb-4d53-9f81-9f9961298a96
Hora: 2026-02-23 11:07:17Z</t>
  </si>
  <si>
    <t>Erro de fonte de dados: Expression.Error: There weren't enough elements in the enumeration to complete the operation.. #table({"Content"}, {}). Microsoft.Data.Mashup.ErrorCode = 10063. Detail = #table({"Content"}, {}). ;There weren't enough elements in the enumeration to complete the operation.. The exception was raised by the IDbCommand interface.
Cluster URI: WABI-BRAZIL-SOUTH-B-PRIMARY-redirect.analysis.windows.net
ID da atividade: bc4ab483-62b9-419a-ad80-ce487cd43324
Solicitar ID: 473a67ca-4858-bc36-019b-767beb384638
Hora: 2026-02-24 13:52:41Z</t>
  </si>
  <si>
    <t>Erro de fonte de dados: Column '&lt;oii&gt;Meio&lt;/oii&gt;' in Table '&lt;oii&gt;DIM_Meio&lt;/oii&gt;' contains a duplicate value 'Televisão' and this is not allowed for columns on the one side of a many-to-one relationship or for columns that are used as the primary key of a table.
Cluster URI: WABI-BRAZIL-SOUTH-B-PRIMARY-redirect.analysis.windows.net
ID da atividade: bc4ab483-62b9-419a-ad80-ce487cd43324
Solicitar ID: 6bf304c6-81a6-68e6-575b-8693089e575d
Hora: 2026-02-24 14:11:53Z</t>
  </si>
  <si>
    <t>Erro de fonte de dados: Expression.Error: There weren't enough elements in the enumeration to complete the operation.. #table({"Content"}, {}). Microsoft.Data.Mashup.ErrorCode = 10063. Detail = #table({"Content"}, {}). ;There weren't enough elements in the enumeration to complete the operation.. The exception was raised by the IDbCommand interface.
Cluster URI: WABI-BRAZIL-SOUTH-B-PRIMARY-redirect.analysis.windows.net
ID da atividade: 5bd367e7-925e-497b-bd89-056b5720b251
Solicitar ID: 610ad259-8ac0-41e9-31eb-48632d9c572d
Hora: 2026-02-26 18:08:16Z</t>
  </si>
  <si>
    <t>Erro de fonte de dados: Column '&lt;oii&gt;Veiculo&lt;/oii&gt;' in Table '&lt;oii&gt;DIM_Veiculo&lt;/oii&gt;' contains a duplicate value 'EPTV' and this is not allowed for columns on the one side of a many-to-one relationship or for columns that are used as the primary key of a table.
Cluster URI: WABI-BRAZIL-SOUTH-B-PRIMARY-redirect.analysis.windows.net
ID da atividade: 2cbf1d28-d88e-4d1b-8b1e-b832f99c1817
Solicitar ID: dfcff6c3-a6ff-1277-2180-f8178553f220
Hora: 2026-03-02 12:01:27Z</t>
  </si>
  <si>
    <t>Erro de fonte de dados: A atualização agendada está desabilitada porque pelo menos uma fonte de dados está sem credenciais. Para iniciar a atualização novamente, vá até a página de configurações deste conjunto de dados e insira as credenciais para todas as fontes de dados. Em seguida, reative a atualização agendada.
Cluster URI: WABI-BRAZIL-SOUTH-B-PRIMARY-redirect.analysis.windows.net
ID da atividade: 3212e48e-b62d-44ce-b089-4a5f4021116d
Solicitar ID: 79ceec1b-c73d-4ae0-b0b7-b990e98264e6
Hora: 2026-02-23 18:20:53Z</t>
  </si>
  <si>
    <t>Erro de fonte de dados: A atualização agendada está desabilitada porque pelo menos uma fonte de dados está sem credenciais. Para iniciar a atualização novamente, vá até a página de configurações deste conjunto de dados e insira as credenciais para todas as fontes de dados. Em seguida, reative a atualização agendada.
Cluster URI: WABI-BRAZIL-SOUTH-B-PRIMARY-redirect.analysis.windows.net
ID da atividade: 3212e48e-b62d-44ce-b089-4a5f4021116d
Solicitar ID: 76c3590e-73ab-2bc0-fcd5-e48605e48123
Hora: 2026-02-23 18:21:03Z</t>
  </si>
  <si>
    <t>"Erro de fonte de dados: Column '&lt;oii&gt;Veiculo&lt;/oii&gt;' in Table '&lt;oii&gt;DIM_Veiculo&lt;/oii&gt;' contains a duplicate value 'EPTV' and this is not allowed for columns on the one side of a many-to-one relationship or for columns that are used as the primary key of a table.
Cluster URI: WABI-BRAZIL-SOUTH-B-PRIMARY-redirect.analysis.windows.net
ID da atividade: 2cbf1d28-d88e-4d1b-8b1e-b832f99c1817
Solicitar ID: dfcff6c3-a6ff-1277-2180-f8178553f220
Hora: 2026-03-02 12:01:27Z"</t>
  </si>
  <si>
    <t>Erro de fonte de dados: Column '&lt;oii&gt;Tipo de Posto&lt;/oii&gt;' in Table '&lt;oii&gt;Tipo de Posto&lt;/oii&gt;' contains a duplicate value 'Painéis Rodoviários' and this is not allowed for columns on the one side of a many-to-one relationship or for columns that are used as the primary key of a table.
Cluster URI: WABI-BRAZIL-SOUTH-B-PRIMARY-redirect.analysis.windows.net
ID da atividade: f44c027c-242d-4e53-9617-9a490e426c34
Solicitar ID: f028f998-a3f8-4c07-a64b-44c3886866f2
Hora: 2026-03-06 14:03:36Z</t>
  </si>
  <si>
    <t>"Erro de fonte de dados: A atualização agendada está desabilitada porque pelo menos uma fonte de dados está sem credenciais. Para iniciar a atualização novamente, vá até a página de configurações deste conjunto de dados e insira as credenciais para todas as fontes de dados. Em seguida, reative a atualização agendada.
Cluster URI: WABI-BRAZIL-SOUTH-B-PRIMARY-redirect.analysis.windows.net
ID da atividade: 3212e48e-b62d-44ce-b089-4a5f4021116d
Solicitar ID: 76c3590e-73ab-2bc0-fcd5-e48605e48123
Hora: 2026-02-23 18:21:03Z"</t>
  </si>
  <si>
    <t>"""Erro de fonte de dados: Column '&lt;oii&gt;Veiculo&lt;/oii&gt;' in Table '&lt;oii&gt;DIM_Veiculo&lt;/oii&gt;' contains a duplicate value 'EPTV' and this is not allowed for columns on the one side of a many-to-one relationship or for columns that are used as the primary key of a table.
Cluster URI: WABI-BRAZIL-SOUTH-B-PRIMARY-redirect.analysis.windows.net
ID da atividade: 2cbf1d28-d88e-4d1b-8b1e-b832f99c1817
Solicitar ID: dfcff6c3-a6ff-1277-2180-f8178553f220
Hora: 2026-03-02 12:01:27Z"""</t>
  </si>
  <si>
    <t>"""Erro de fonte de dados: A atualização agendada está desabilitada porque pelo menos uma fonte de dados está sem credenciais. Para iniciar a atualização novamente, vá até a página de configurações deste conjunto de dados e insira as credenciais para todas as fontes de dados. Em seguida, reative a atualização agendada.
Cluster URI: WABI-BRAZIL-SOUTH-B-PRIMARY-redirect.analysis.windows.net
ID da atividade: 3212e48e-b62d-44ce-b089-4a5f4021116d
Solicitar ID: 76c3590e-73ab-2bc0-fcd5-e48605e48123
Hora: 2026-02-23 18:21:03Z"""</t>
  </si>
  <si>
    <t>"""""""Erro de fonte de dados: A atualização agendada está desabilitada porque pelo menos uma fonte de dados está sem credenciais. Para iniciar a atualização novamente, vá até a página de configurações deste conjunto de dados e insira as credenciais para todas as fontes de dados. Em seguida, reative a atualização agendada.
Cluster URI: WABI-BRAZIL-SOUTH-B-PRIMARY-redirect.analysis.windows.net
ID da atividade: 3212e48e-b62d-44ce-b089-4a5f4021116d
Solicitar ID: 76c3590e-73ab-2bc0-fcd5-e48605e48123
Hora: 2026-02-23 18:21:03Z"""""""</t>
  </si>
  <si>
    <t>Grade_Diaria_V2</t>
  </si>
  <si>
    <t>Erro de fonte de dados: The operation was throttled by Power BI because of insufficient memory. Please try again later. 
Cluster URI: WABI-BRAZIL-SOUTH-B-PRIMARY-redirect.analysis.windows.net 
ID da atividade: 00000000-0000-0000-0000-000000000000 
Solicitar ID: 9d7b3574-0007-43ac-aec1-314e0eebd86f 
Hora: 2026-03-20 17:39:37Z</t>
  </si>
  <si>
    <t>Refresh manual</t>
  </si>
  <si>
    <t>Erro de fonte de dadosA atualização agendada está desabilitada porque pelo menos uma fonte de dados está sem credenciais. Para iniciar a atualização novamente, vá até a página de configurações deste conjunto de dados e insira as credenciais para todas as fontes de dados. Em seguida, reative a atualização agendada.
Cluster URIWABI-BRAZIL-SOUTH-B-PRIMARY-redirect.analysis.windows.net
ID da atividade363b884c-5d54-440b-812a-c8b7c81b2393
Solicitar IDcc942fad-5f5f-8b38-04d2-45f6d045b871
Hora2026-03-24 12:23:36Z</t>
  </si>
  <si>
    <t>25/mar/26</t>
  </si>
  <si>
    <t>quarta-feira</t>
  </si>
  <si>
    <t>Indicadores de Frotas_V4</t>
  </si>
  <si>
    <t>Dataset: 2fdf5b45-32a2-4b26-9d61-778620bae5c5
Status: Failed
Início: 2026-03-25T14:47:01.387Z
Fim: 2026-03-25T14:47:01.527Z
Detalhe:
{'errorCode': 'ModelRefreshDisabled_CredentialNotSpecified'}</t>
  </si>
  <si>
    <t>Dataset: eec9cbea-13fe-42f1-8a32-009f59ce9bd6
Status: Failed
Início: 2026-03-25T14:46:50.807Z
Fim: 2026-03-25T14:46:50.947Z
Detalhe:
{'errorCode': 'ModelRefreshDisabled_CredentialNotSpecified'}</t>
  </si>
  <si>
    <t>Dataset: 11233c49-9845-466d-a562-5c3f35fbb585
Status: Failed
Início: 2026-01-04T11:53:39.883Z
Fim: 2026-01-04T11:53:42.57Z
Detalhe:
{'errorCode': 'ModelRefresh_ShortMessage_ProcessingError', 'errorDescription': '{"error":{"code":"Premium_ASWL_Error","pbi.error":{"code":"Premium_ASWL_Error","parameters":{},"details":[{"code":"Premium_ASWL_Error_Details_Label","detail":{"type":1,"value":"We are unable to refresh the semantic model because the model uses a data connection configured for Workspace Identity authentication, but the workspace has no identity, or the model owner does not have permissions to use the workspace identity. Please configure a workspace identity and make sure the model owner has Contributor (or higher) access to the workspace, or use a different authentication method."}}],"exceptionCulprit":1}}}'}</t>
  </si>
  <si>
    <t>Dataset: 81b9d7c4-fcc4-4338-9d87-71a610c22b55
Status: Failed
Início: 2026-02-18T18:53:57.263Z
Fim: 2026-02-18T18:53:57.34Z
Detalhe:
{'errorCode': 'ModelRefreshDisabled_CredentialNotSpecified'}</t>
  </si>
  <si>
    <t>Dataset: ebd6e739-21b0-4908-bcb7-31a6c083a7ff
Status: Failed
Início: 2026-03-02T12:00:58.87Z
Fim: 2026-03-02T12:01:27.783Z
Detalhe:
{'errorCode': 'ModelRefresh_ShortMessage_ProcessingError', 'errorDescription': "Column '&lt;oii&gt;Veiculo&lt;/oii&gt;' in Table '&lt;oii&gt;DIM_Veiculo&lt;/oii&gt;' contains a duplicate value 'EPTV' and this is not allowed for columns on the one side of a many-to-one relationship or for columns that are used as the primary key of a table."}</t>
  </si>
  <si>
    <t>Dataset: dc1134d1-7739-48a6-a949-3d9d08a18000
Status: Failed
Início: 2025-11-05T14:38:07.593Z
Fim: 2025-11-05T14:38:07.72Z
Detalhe:
{'errorCode': 'ModelRefreshDisabled_CredentialNotSpecified'}</t>
  </si>
  <si>
    <t>Dataset: 3d844e4e-4c66-4a45-9183-b67603882932
Status: Failed
Início: 2026-03-24T12:23:36.843Z
Fim: 2026-03-24T12:23:36.987Z
Detalhe:
{'errorCode': 'ModelRefreshDisabled_CredentialNotSpecified'}</t>
  </si>
  <si>
    <t>26/mar/26</t>
  </si>
  <si>
    <t>quinta-feira</t>
  </si>
  <si>
    <t>Dataset: aafdde78-e019-45a2-8d0a-9227db57575b
Status: Unknown
Início: 2026-03-25T16:58:43.413Z
Detalhe:
Erro sem detalhe retornado pela API.</t>
  </si>
  <si>
    <t>Catálogo de Pipelines - Dados 2026</t>
  </si>
  <si>
    <t>Nome do Pipeline</t>
  </si>
  <si>
    <t>Descrição Breve do Pipeline</t>
  </si>
  <si>
    <t>Área Referente</t>
  </si>
  <si>
    <t>Sistema de Origem</t>
  </si>
  <si>
    <t>Camada (Raw/Standard/Clean)</t>
  </si>
  <si>
    <t>Frequência de Execução</t>
  </si>
  <si>
    <t>Tipo de Trigger</t>
  </si>
  <si>
    <t>Última Data de Execução</t>
  </si>
  <si>
    <t>Tempo Médio de Execução</t>
  </si>
  <si>
    <t>Pipeline Crítico?</t>
  </si>
  <si>
    <t>Responsável Técnico</t>
  </si>
  <si>
    <t>Documentação Existe?</t>
  </si>
  <si>
    <t>Link da Documentação</t>
  </si>
  <si>
    <t>Dependência de Outros Pipelines?</t>
  </si>
  <si>
    <t>Se Sim, Qual?</t>
  </si>
  <si>
    <t>Observações Gerais</t>
  </si>
  <si>
    <t>Modelo Semanticos</t>
  </si>
  <si>
    <t>Está em controle do BI Group EP?</t>
  </si>
  <si>
    <t>Análises Área de Mercado</t>
  </si>
  <si>
    <t>Sim</t>
  </si>
  <si>
    <t>Dados | Dev</t>
  </si>
  <si>
    <t>Dados | Prod</t>
  </si>
  <si>
    <t>wks-pbi-cex-stg</t>
  </si>
  <si>
    <t>wks-pbi-com-dev</t>
  </si>
  <si>
    <t>wks-pbi-com-hml</t>
  </si>
  <si>
    <t>wks-pbi-corp-dev</t>
  </si>
  <si>
    <t>wks-pbi-fin-dev</t>
  </si>
  <si>
    <t>wks-pbi-pgm-dev</t>
  </si>
  <si>
    <t>wks-pbi-pgm-hml</t>
  </si>
  <si>
    <t>wks-pbi-rhu-dev</t>
  </si>
  <si>
    <t>Donos BIs Publicados</t>
  </si>
  <si>
    <t>Possível apoio para análise do BI</t>
  </si>
  <si>
    <t>Observações/ sugestões</t>
  </si>
  <si>
    <t>não está mais no Grupo EP</t>
  </si>
  <si>
    <t>Lucas Cabrini (gerente adm) + Fellipe</t>
  </si>
  <si>
    <t>os paineis do adm contém informações bem importantes e com impacto direto nos custos do grupo, sobretudo os de energia. Vale a pena puxar um papo com o Lucas e talvez com o Fellipe para ver se eles querem reativar os dashs, até pq foram metas estratégicas de 2024 se não me falha a memória. A ideia era que o Joe tivesse visbilidade destes custos também, mas não sei se ele chegou a ver o trabalho desenvolvido.</t>
  </si>
  <si>
    <t>no grupo EP</t>
  </si>
  <si>
    <t>Lucas e Sérgio Resende</t>
  </si>
  <si>
    <t xml:space="preserve">com a incorporação do CSC, algumas áreas do grupo mudaram um pouco. O Lucas faz parte de uma dessas novas áreas, que cuida de toda a parte de compras e contratos, e estpa com um novo gerente: o Sérgio. Se vocês foram falar com o Lucas em relação ao dashs dele, que são super importantes para a área, seria legal puxar o Sérgio também para garantir o alinhamento com o que ele considera importante para a área. </t>
  </si>
  <si>
    <t>GUILHERME POMPEO</t>
  </si>
  <si>
    <t>tem 3 dashs com ele, 2 fucionam e 1 da erro. O que esta dando erro provavelmente tem relação com o chatbot do whatsapp do jornalismo, que quem cuida é o Hugo Santos, que está na linha 6 desta planilha</t>
  </si>
  <si>
    <t>no grupo EP (terceiro, que foca na parte do whatsapp)</t>
  </si>
  <si>
    <t>Renato Góe - gerente de promo e ativação</t>
  </si>
  <si>
    <t>O Hugo está aqui com a gente desde 2022 se não me engano, e ele que fez toda a parte das automações do whatsapp, com destaque para o trabalho com o jornalismo. Ele também apoiou em algumas campanhas de Promo e Ativação, ou seja, quando fazemos alguma ação de interação com nosso público de forma direta. O dash que está parado deve ser de alguma dessas campanhas (chuto que foi alguma campanha da novela Pantanal), então vale a pena ver com o Hugo e com a área de promo e ativação se eles ainda precisam do dash. Na área, vocês podem chamar o Renato Góes.</t>
  </si>
  <si>
    <t>O Caio fica na parte comercial, e acredito que ele consegue direcionar sobre quais BIs de fato são utilizados de forma rápida e direta. Como ele é o especialista de mercado e desenvolve boa parte de tudo na área, certamente ele vai conseguir dar o correto direcionamento</t>
  </si>
  <si>
    <t>Kamyle (supervisora MD - Comercial)</t>
  </si>
  <si>
    <t>Pelo título do PBI, estou supondo que tenha relação com alguma ação específica/produto pontual que o time de MD, em parceria com o time de mkt, fez para a Germânica. Se for isso, a Kamy vai saber ajudar ou pelo menos vai conseguir indicar outra pessoa para apoiar na análise.</t>
  </si>
  <si>
    <t>Larissa Gonzalez | Kendi | Tássia</t>
  </si>
  <si>
    <t xml:space="preserve">Dos PBIs do BI Grupo EP, 3 são da programação, que a Larissa Gonzalez com certeza vai conseguir ajudar. O do comercial talvez o Kendi possa ajudar, ou a Stefani Espinoza, que é gerente do Kendi e do Caio Novo. O PBI que esta dando erro talvez seja do financeiro, pois se é de previsão, suponho que seja previsão financeira ou algo desta natureza. Se for isso mesmo, talvez valha a pena falar direto com a Tássia, pois a Juliana é relativamente nova na casa, então pode ser que ela não saiba sobre o assunto ainda. </t>
  </si>
  <si>
    <t>Stefani Espinosa | Otaviano | Tássia | Larissa Gonzalez | Mariane Dias + Alexandre de Oliveira</t>
  </si>
  <si>
    <t>Pessoal, tem muitos paineis no nome do Felipe, e não sei se eu entendi todos eles só pelo título. Os de desempenho comercial, eu trocaria uma ideia com a Ste, que é gerente de inteligência de mercado e imagino que ela tenha uma visão bem boa e abrangente dos paineis da área de negócios. Sobre o EP Tickets, acho que quem deve saber é o Otaviano, diretor de Novos Negócios, mas não sei se segue com ele em Novos Negócios ou se ficou com Marketing. Se tiver ficado com marketing, talvez o Caio Maciel possa ajudar. A parte de caixa eu verificaria direto com a Tássia. O Painel de Senso deve ser algo relacionado a alguma pesquisa com nosso público, da área de Inteligência e Programação. Se for isso mesmo, a Lari vai saber orientar vocês. O painel de pessoas, podem veificar com a Mari e Ale, sobretudo para que o painel fique com o Ale, que em tese é a pessoa que foca na parte dos dados na área de pessoas.</t>
  </si>
  <si>
    <t>Gente, pensando em otimizar as agendas, quando vocês forem falar com o Caio Novo, já podem chamar o Kendi, pois eles são do mesmo time e trabalham juntos.</t>
  </si>
  <si>
    <t>Calendário corporativo que falamos essa semana</t>
  </si>
  <si>
    <t>no grupo EP - mas está de licença maternidade</t>
  </si>
  <si>
    <t>Tássia + Juliana ou Carol Cazú</t>
  </si>
  <si>
    <t>A Juliana é  gerente de controladoria, mas ela é nova no Grupo EP então não sei se ela consegue ajudar nas análises dos dashboards. Talvez valha a pena falar direto com a Tássia e chamar também a Carol Cazu.</t>
  </si>
  <si>
    <t>Tássia + Carol Cazú</t>
  </si>
  <si>
    <t xml:space="preserve">A Mari não está mais no Grupo EP, ela era do time da Cazú, então ela com certeza vai conseguir orientar em relação a continuidade ou não deste PBI. Para otimizar as agendas, acho que vale ter uma conversa só com Tássia, Ju e Cazú, considerando todos os dashs do financeiro (interno do financeiro ou do financeiro para acionistas) </t>
  </si>
  <si>
    <t xml:space="preserve">Fabiana Teixeira | Gabi Delman </t>
  </si>
  <si>
    <t>O Leo era estagiário de dados se não me engano. Dos 3 dashs, o que da erro eu não consegui entender o que é só pelo nome. O dash de entretenimento daria para conversar com a Fabi Teixeira e de Jornalismo, com a Delman. Em ambos os casos, as áreas estão na diretoria de Conteúdo, com a Lu Viegas. Vale ver com o Bruno se vale fazer uma conversa com as 3: Fabi, Gabi e Lu, assim otimizamos agendas.</t>
  </si>
  <si>
    <t>Marine Dias + Alexandre</t>
  </si>
  <si>
    <t xml:space="preserve">Se vocês forem falar com o Alexandre, eu também chamaria a Mari </t>
  </si>
  <si>
    <t>Esse eu não sei como ajudar gente</t>
  </si>
  <si>
    <t>SKU</t>
  </si>
  <si>
    <t>Potência</t>
  </si>
  <si>
    <t>Indicação</t>
  </si>
  <si>
    <t>A1</t>
  </si>
  <si>
    <t>🔹 Baixa</t>
  </si>
  <si>
    <t>POC, poucos usuários, relatórios simples</t>
  </si>
  <si>
    <t>A2</t>
  </si>
  <si>
    <t>🔸 Média</t>
  </si>
  <si>
    <t>Times pequenos, uso moderado</t>
  </si>
  <si>
    <t>A3</t>
  </si>
  <si>
    <t>🔸🔸</t>
  </si>
  <si>
    <t>Uso corporativo leve</t>
  </si>
  <si>
    <t>A4</t>
  </si>
  <si>
    <t>🔸🔸🔸</t>
  </si>
  <si>
    <t>Uso corporativo médio</t>
  </si>
  <si>
    <t>A5</t>
  </si>
  <si>
    <t>🔸🔸🔸🔸</t>
  </si>
  <si>
    <t>Alto volume</t>
  </si>
  <si>
    <t>A6</t>
  </si>
  <si>
    <t>🔸🔸🔸🔸🔸</t>
  </si>
  <si>
    <t>Missão 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</si>
</sst>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h:mm;@"/>
  </numFmts>
  <fonts count="1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333333"/>
      <name val="Aptos Narrow"/>
      <scheme val="minor"/>
    </font>
    <font>
      <u/>
      <sz val="11"/>
      <color rgb="FF424242"/>
      <name val="Aptos Narrow"/>
      <scheme val="minor"/>
    </font>
    <font>
      <u/>
      <sz val="11"/>
      <color rgb="FF000000"/>
      <name val="Aptos Narrow"/>
      <family val="2"/>
      <scheme val="minor"/>
    </font>
    <font>
      <sz val="26"/>
      <color theme="0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u/>
      <sz val="11"/>
      <color rgb="FF117865"/>
      <name val="Aptos Narrow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Segoe UI"/>
      <charset val="1"/>
    </font>
  </fonts>
  <fills count="2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06E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9" fontId="4" fillId="0" borderId="0"/>
    <xf numFmtId="43" fontId="4" fillId="0" borderId="0"/>
    <xf numFmtId="0" fontId="3" fillId="0" borderId="0"/>
    <xf numFmtId="0" fontId="3" fillId="0" borderId="0"/>
  </cellStyleXfs>
  <cellXfs count="113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3" applyAlignment="1">
      <alignment horizontal="left"/>
    </xf>
    <xf numFmtId="0" fontId="0" fillId="3" borderId="0" xfId="0" applyFill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pivotButton="1"/>
    <xf numFmtId="9" fontId="0" fillId="0" borderId="0" xfId="1" applyFont="1"/>
    <xf numFmtId="0" fontId="0" fillId="4" borderId="0" xfId="0" applyFill="1"/>
    <xf numFmtId="0" fontId="1" fillId="2" borderId="0" xfId="0" applyFont="1" applyFill="1" applyAlignment="1">
      <alignment vertical="center" wrapText="1"/>
    </xf>
    <xf numFmtId="0" fontId="3" fillId="0" borderId="0" xfId="3" applyAlignment="1">
      <alignment vertical="center" wrapText="1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7" fillId="7" borderId="1" xfId="0" applyFont="1" applyFill="1" applyBorder="1" applyAlignment="1">
      <alignment wrapText="1"/>
    </xf>
    <xf numFmtId="0" fontId="3" fillId="8" borderId="1" xfId="3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3" fillId="9" borderId="1" xfId="3" applyFill="1" applyBorder="1" applyAlignment="1">
      <alignment wrapText="1"/>
    </xf>
    <xf numFmtId="0" fontId="8" fillId="9" borderId="1" xfId="0" applyFont="1" applyFill="1" applyBorder="1" applyAlignment="1">
      <alignment wrapText="1"/>
    </xf>
    <xf numFmtId="0" fontId="0" fillId="10" borderId="0" xfId="0" applyFill="1"/>
    <xf numFmtId="0" fontId="0" fillId="11" borderId="0" xfId="0" applyFill="1"/>
    <xf numFmtId="0" fontId="0" fillId="12" borderId="0" xfId="0" applyFill="1"/>
    <xf numFmtId="20" fontId="0" fillId="0" borderId="0" xfId="0" applyNumberFormat="1" applyAlignment="1">
      <alignment horizontal="left"/>
    </xf>
    <xf numFmtId="14" fontId="9" fillId="0" borderId="0" xfId="0" applyNumberFormat="1" applyFont="1" applyAlignment="1">
      <alignment horizontal="left"/>
    </xf>
    <xf numFmtId="20" fontId="9" fillId="0" borderId="0" xfId="0" applyNumberFormat="1" applyFont="1" applyAlignment="1">
      <alignment horizontal="left"/>
    </xf>
    <xf numFmtId="0" fontId="10" fillId="13" borderId="0" xfId="0" applyFont="1" applyFill="1"/>
    <xf numFmtId="0" fontId="11" fillId="0" borderId="0" xfId="3" applyFont="1"/>
    <xf numFmtId="0" fontId="1" fillId="14" borderId="0" xfId="0" applyFont="1" applyFill="1"/>
    <xf numFmtId="0" fontId="0" fillId="15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17" borderId="0" xfId="0" applyFont="1" applyFill="1"/>
    <xf numFmtId="15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0" fontId="4" fillId="19" borderId="0" xfId="1" applyNumberFormat="1" applyFill="1" applyAlignment="1">
      <alignment horizontal="left"/>
    </xf>
    <xf numFmtId="0" fontId="1" fillId="17" borderId="0" xfId="0" applyFont="1" applyFill="1" applyAlignment="1">
      <alignment horizontal="left" vertical="center"/>
    </xf>
    <xf numFmtId="15" fontId="0" fillId="0" borderId="3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5" fontId="0" fillId="4" borderId="3" xfId="0" applyNumberFormat="1" applyFill="1" applyBorder="1" applyAlignment="1">
      <alignment horizontal="left" vertical="center"/>
    </xf>
    <xf numFmtId="49" fontId="0" fillId="4" borderId="3" xfId="0" applyNumberFormat="1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 wrapText="1"/>
    </xf>
    <xf numFmtId="15" fontId="0" fillId="5" borderId="3" xfId="0" applyNumberFormat="1" applyFill="1" applyBorder="1" applyAlignment="1">
      <alignment horizontal="left" vertical="center"/>
    </xf>
    <xf numFmtId="49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 wrapText="1"/>
    </xf>
    <xf numFmtId="0" fontId="0" fillId="5" borderId="0" xfId="0" applyFill="1"/>
    <xf numFmtId="0" fontId="3" fillId="0" borderId="0" xfId="3"/>
    <xf numFmtId="9" fontId="3" fillId="13" borderId="0" xfId="3" applyNumberFormat="1" applyFill="1" applyAlignment="1">
      <alignment horizontal="center" vertical="center"/>
    </xf>
    <xf numFmtId="10" fontId="4" fillId="18" borderId="0" xfId="1" applyNumberFormat="1" applyFill="1" applyAlignment="1">
      <alignment horizontal="left"/>
    </xf>
    <xf numFmtId="0" fontId="1" fillId="17" borderId="0" xfId="0" applyFont="1" applyFill="1" applyAlignment="1">
      <alignment horizontal="left"/>
    </xf>
    <xf numFmtId="0" fontId="0" fillId="20" borderId="3" xfId="0" applyFill="1" applyBorder="1" applyAlignment="1">
      <alignment horizontal="left" vertical="center" wrapText="1"/>
    </xf>
    <xf numFmtId="15" fontId="0" fillId="20" borderId="3" xfId="0" applyNumberFormat="1" applyFill="1" applyBorder="1" applyAlignment="1">
      <alignment horizontal="left" vertical="center"/>
    </xf>
    <xf numFmtId="49" fontId="0" fillId="20" borderId="3" xfId="0" applyNumberFormat="1" applyFill="1" applyBorder="1" applyAlignment="1">
      <alignment horizontal="left" vertical="center"/>
    </xf>
    <xf numFmtId="0" fontId="0" fillId="20" borderId="3" xfId="0" applyFill="1" applyBorder="1" applyAlignment="1">
      <alignment horizontal="left" vertical="center"/>
    </xf>
    <xf numFmtId="0" fontId="0" fillId="20" borderId="0" xfId="0" applyFill="1"/>
    <xf numFmtId="0" fontId="1" fillId="2" borderId="4" xfId="0" applyFont="1" applyFill="1" applyBorder="1" applyAlignment="1">
      <alignment horizontal="left"/>
    </xf>
    <xf numFmtId="0" fontId="3" fillId="0" borderId="4" xfId="3" applyBorder="1" applyAlignment="1">
      <alignment horizontal="left"/>
    </xf>
    <xf numFmtId="0" fontId="0" fillId="0" borderId="4" xfId="0" applyBorder="1"/>
    <xf numFmtId="0" fontId="6" fillId="0" borderId="4" xfId="3" applyFont="1" applyBorder="1" applyAlignment="1">
      <alignment horizontal="left"/>
    </xf>
    <xf numFmtId="0" fontId="0" fillId="21" borderId="0" xfId="0" applyFill="1"/>
    <xf numFmtId="0" fontId="0" fillId="13" borderId="0" xfId="0" applyFill="1"/>
    <xf numFmtId="1" fontId="1" fillId="2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3" fillId="0" borderId="0" xfId="4"/>
    <xf numFmtId="0" fontId="15" fillId="0" borderId="0" xfId="0" applyFont="1"/>
    <xf numFmtId="0" fontId="0" fillId="4" borderId="0" xfId="0" applyFill="1" applyAlignment="1">
      <alignment horizontal="left"/>
    </xf>
    <xf numFmtId="0" fontId="16" fillId="13" borderId="0" xfId="0" applyFont="1" applyFill="1"/>
    <xf numFmtId="0" fontId="16" fillId="0" borderId="0" xfId="0" applyFont="1"/>
    <xf numFmtId="15" fontId="0" fillId="23" borderId="3" xfId="0" applyNumberFormat="1" applyFill="1" applyBorder="1" applyAlignment="1">
      <alignment horizontal="left" vertical="center"/>
    </xf>
    <xf numFmtId="49" fontId="0" fillId="23" borderId="3" xfId="0" applyNumberFormat="1" applyFill="1" applyBorder="1" applyAlignment="1">
      <alignment horizontal="left" vertical="center"/>
    </xf>
    <xf numFmtId="0" fontId="0" fillId="23" borderId="3" xfId="0" applyFill="1" applyBorder="1" applyAlignment="1">
      <alignment horizontal="left" vertical="center"/>
    </xf>
    <xf numFmtId="0" fontId="17" fillId="23" borderId="7" xfId="0" applyFont="1" applyFill="1" applyBorder="1" applyAlignment="1">
      <alignment wrapText="1"/>
    </xf>
    <xf numFmtId="0" fontId="0" fillId="23" borderId="0" xfId="0" applyFill="1"/>
    <xf numFmtId="0" fontId="0" fillId="0" borderId="3" xfId="0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1" fillId="17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center"/>
    </xf>
    <xf numFmtId="43" fontId="0" fillId="0" borderId="0" xfId="2" applyFont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49" fontId="0" fillId="22" borderId="3" xfId="0" applyNumberForma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22" borderId="3" xfId="0" applyFill="1" applyBorder="1" applyAlignment="1">
      <alignment horizontal="center"/>
    </xf>
    <xf numFmtId="9" fontId="13" fillId="18" borderId="0" xfId="1" applyFont="1" applyFill="1" applyAlignment="1">
      <alignment horizontal="center" vertical="center"/>
    </xf>
    <xf numFmtId="14" fontId="12" fillId="2" borderId="2" xfId="0" applyNumberFormat="1" applyFont="1" applyFill="1" applyBorder="1" applyAlignment="1">
      <alignment horizontal="center" vertical="center"/>
    </xf>
    <xf numFmtId="9" fontId="14" fillId="16" borderId="0" xfId="1" applyFont="1" applyFill="1" applyAlignment="1">
      <alignment horizontal="center" vertical="center"/>
    </xf>
    <xf numFmtId="14" fontId="12" fillId="2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5">
    <cellStyle name="Hiperlink" xfId="3" builtinId="8"/>
    <cellStyle name="Hyperlink" xfId="4"/>
    <cellStyle name="Normal" xfId="0" builtinId="0"/>
    <cellStyle name="Porcentagem" xfId="1" builtinId="5"/>
    <cellStyle name="Vírgula" xfId="2" builtinId="3"/>
  </cellStyles>
  <dxfs count="24">
    <dxf>
      <font>
        <b/>
        <color theme="5" tint="-0.24994659260841701"/>
      </font>
      <fill>
        <patternFill>
          <bgColor rgb="FFFFC000"/>
        </patternFill>
      </fill>
    </dxf>
    <dxf>
      <font>
        <b/>
        <color theme="6" tint="-0.24994659260841701"/>
      </font>
      <fill>
        <patternFill>
          <bgColor theme="9" tint="0.59996337778862885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theme="5" tint="-0.24994659260841701"/>
      </font>
      <fill>
        <patternFill>
          <bgColor rgb="FFFFFFCC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theme="9" tint="-0.499984740745262"/>
      </font>
      <fill>
        <patternFill>
          <bgColor theme="9" tint="0.79998168889431442"/>
        </patternFill>
      </fill>
    </dxf>
    <dxf>
      <font>
        <b/>
        <color theme="9" tint="-0.499984740745262"/>
      </font>
      <fill>
        <patternFill>
          <bgColor theme="9" tint="0.79998168889431442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theme="5" tint="-0.24994659260841701"/>
      </font>
      <fill>
        <patternFill>
          <bgColor rgb="FFFFC000"/>
        </patternFill>
      </fill>
    </dxf>
    <dxf>
      <font>
        <b/>
        <color theme="6" tint="-0.24994659260841701"/>
      </font>
      <fill>
        <patternFill>
          <bgColor theme="9" tint="0.59996337778862885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theme="5" tint="-0.24994659260841701"/>
      </font>
      <fill>
        <patternFill>
          <bgColor rgb="FFFFC000"/>
        </patternFill>
      </fill>
    </dxf>
    <dxf>
      <font>
        <b/>
        <color theme="6" tint="-0.24994659260841701"/>
      </font>
      <fill>
        <patternFill>
          <bgColor theme="9" tint="0.59996337778862885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theme="5" tint="-0.24994659260841701"/>
      </font>
      <fill>
        <patternFill>
          <bgColor rgb="FFFFC000"/>
        </patternFill>
      </fill>
    </dxf>
    <dxf>
      <font>
        <b/>
        <color theme="6" tint="-0.24994659260841701"/>
      </font>
      <fill>
        <patternFill>
          <bgColor theme="9" tint="0.59996337778862885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theme="5" tint="-0.24994659260841701"/>
      </font>
      <fill>
        <patternFill>
          <bgColor rgb="FFFFC000"/>
        </patternFill>
      </fill>
    </dxf>
    <dxf>
      <font>
        <b/>
        <color theme="6" tint="-0.24994659260841701"/>
      </font>
      <fill>
        <patternFill>
          <bgColor theme="9" tint="0.59996337778862885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8ED973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pivotSource>
    <c:name>[Catálogos de Gestão_Dados_copia.xlsx]Análises_Dashboards!PivotTable1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rgbClr val="FFC000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spPr>
          <a:solidFill>
            <a:srgbClr val="92D050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spPr>
          <a:solidFill>
            <a:srgbClr val="C00000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Análises_Dashboards!$B$2:$B$3</c:f>
              <c:strCache>
                <c:ptCount val="1"/>
                <c:pt idx="0">
                  <c:v>Erro</c:v>
                </c:pt>
              </c:strCache>
            </c:strRef>
          </c:tx>
          <c:spPr>
            <a:solidFill>
              <a:srgbClr val="C0000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Análises_Dashboards!$A$4:$A$8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Análises_Dashboards!$B$4:$B$8</c:f>
              <c:numCache>
                <c:formatCode>General</c:formatCode>
                <c:ptCount val="4"/>
                <c:pt idx="1">
                  <c:v>2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Análises_Dashboards!$C$2:$C$3</c:f>
              <c:strCache>
                <c:ptCount val="1"/>
                <c:pt idx="0">
                  <c:v>Parado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Análises_Dashboards!$A$4:$A$8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Análises_Dashboards!$C$4:$C$8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</c:ser>
        <c:ser>
          <c:idx val="2"/>
          <c:order val="2"/>
          <c:tx>
            <c:strRef>
              <c:f>Análises_Dashboards!$D$2:$D$3</c:f>
              <c:strCache>
                <c:ptCount val="1"/>
                <c:pt idx="0">
                  <c:v>Publicado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Análises_Dashboards!$A$4:$A$8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Análises_Dashboards!$D$4:$D$8</c:f>
              <c:numCache>
                <c:formatCode>General</c:formatCode>
                <c:ptCount val="4"/>
                <c:pt idx="2">
                  <c:v>11</c:v>
                </c:pt>
                <c:pt idx="3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157723264"/>
        <c:axId val="157741440"/>
      </c:barChart>
      <c:catAx>
        <c:axId val="15772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741440"/>
        <c:crosses val="autoZero"/>
        <c:auto val="1"/>
        <c:lblAlgn val="ctr"/>
        <c:lblOffset val="100"/>
        <c:noMultiLvlLbl val="0"/>
      </c:catAx>
      <c:valAx>
        <c:axId val="157741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723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pivotSource>
    <c:name>[Catálogos de Gestão_Dados_copia.xlsx]Análises_Dashboards!PivotTable2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Análises_Dashboards!$B$18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Análises_Dashboards!$A$19:$A$22</c:f>
              <c:strCache>
                <c:ptCount val="3"/>
                <c:pt idx="0">
                  <c:v>Erro</c:v>
                </c:pt>
                <c:pt idx="1">
                  <c:v>Parado</c:v>
                </c:pt>
                <c:pt idx="2">
                  <c:v>Publicado</c:v>
                </c:pt>
              </c:strCache>
            </c:strRef>
          </c:cat>
          <c:val>
            <c:numRef>
              <c:f>Análises_Dashboards!$B$19:$B$22</c:f>
              <c:numCache>
                <c:formatCode>General</c:formatCode>
                <c:ptCount val="3"/>
                <c:pt idx="0">
                  <c:v>12</c:v>
                </c:pt>
                <c:pt idx="1">
                  <c:v>14</c:v>
                </c:pt>
                <c:pt idx="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30"/>
        <c:axId val="157763072"/>
        <c:axId val="157764608"/>
      </c:barChart>
      <c:catAx>
        <c:axId val="1577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764608"/>
        <c:crosses val="autoZero"/>
        <c:auto val="1"/>
        <c:lblAlgn val="ctr"/>
        <c:lblOffset val="100"/>
        <c:noMultiLvlLbl val="0"/>
      </c:catAx>
      <c:valAx>
        <c:axId val="157764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76307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pivotSource>
    <c:name>[Catálogos de Gestão_Dados_copia.xlsx]Análises_Dashboards!PivotTable4</c:name>
    <c:fmtId val="3"/>
  </c:pivotSource>
  <c:chart>
    <c:autoTitleDeleted val="1"/>
    <c:pivotFmts>
      <c:pivotFmt>
        <c:idx val="0"/>
        <c:spPr>
          <a:solidFill>
            <a:schemeClr val="tx2">
              <a:lumMod val="25000"/>
              <a:lumOff val="7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Análises_Dashboards!$B$40:$B$41</c:f>
              <c:strCache>
                <c:ptCount val="1"/>
                <c:pt idx="0">
                  <c:v>Manhã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Análises_Dashboards!$A$42:$A$52</c:f>
              <c:strCache>
                <c:ptCount val="10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19</c:v>
                </c:pt>
              </c:strCache>
            </c:strRef>
          </c:cat>
          <c:val>
            <c:numRef>
              <c:f>Análises_Dashboards!$B$42:$B$52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Análises_Dashboards!$C$40:$C$41</c:f>
              <c:strCache>
                <c:ptCount val="1"/>
                <c:pt idx="0">
                  <c:v>Noite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Análises_Dashboards!$A$42:$A$52</c:f>
              <c:strCache>
                <c:ptCount val="10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19</c:v>
                </c:pt>
              </c:strCache>
            </c:strRef>
          </c:cat>
          <c:val>
            <c:numRef>
              <c:f>Análises_Dashboards!$C$42:$C$52</c:f>
              <c:numCache>
                <c:formatCode>General</c:formatCode>
                <c:ptCount val="10"/>
                <c:pt idx="9">
                  <c:v>4</c:v>
                </c:pt>
              </c:numCache>
            </c:numRef>
          </c:val>
        </c:ser>
        <c:ser>
          <c:idx val="2"/>
          <c:order val="2"/>
          <c:tx>
            <c:strRef>
              <c:f>Análises_Dashboards!$D$40:$D$41</c:f>
              <c:strCache>
                <c:ptCount val="1"/>
                <c:pt idx="0">
                  <c:v>Tarde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Análises_Dashboards!$A$42:$A$52</c:f>
              <c:strCache>
                <c:ptCount val="10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19</c:v>
                </c:pt>
              </c:strCache>
            </c:strRef>
          </c:cat>
          <c:val>
            <c:numRef>
              <c:f>Análises_Dashboards!$D$42:$D$52</c:f>
              <c:numCache>
                <c:formatCode>General</c:formatCode>
                <c:ptCount val="10"/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158110464"/>
        <c:axId val="158112000"/>
      </c:barChart>
      <c:catAx>
        <c:axId val="15811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12000"/>
        <c:crosses val="autoZero"/>
        <c:auto val="1"/>
        <c:lblAlgn val="ctr"/>
        <c:lblOffset val="100"/>
        <c:noMultiLvlLbl val="0"/>
      </c:catAx>
      <c:valAx>
        <c:axId val="158112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1104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pivotSource>
    <c:name>[Catálogos de Gestão_Dados_copia.xlsx]Análises_Dashboards!PivotTable6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 - WS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Análises_Dashboards!$B$56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Análises_Dashboards!$A$57:$A$61</c:f>
              <c:strCache>
                <c:ptCount val="4"/>
                <c:pt idx="0">
                  <c:v>Dev</c:v>
                </c:pt>
                <c:pt idx="1">
                  <c:v>Hml</c:v>
                </c:pt>
                <c:pt idx="2">
                  <c:v>Prd</c:v>
                </c:pt>
                <c:pt idx="3">
                  <c:v>Stg</c:v>
                </c:pt>
              </c:strCache>
            </c:strRef>
          </c:cat>
          <c:val>
            <c:numRef>
              <c:f>Análises_Dashboards!$B$57:$B$61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37728"/>
        <c:axId val="158143616"/>
      </c:barChart>
      <c:catAx>
        <c:axId val="1581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43616"/>
        <c:crosses val="autoZero"/>
        <c:auto val="1"/>
        <c:lblAlgn val="ctr"/>
        <c:lblOffset val="100"/>
        <c:noMultiLvlLbl val="0"/>
      </c:catAx>
      <c:valAx>
        <c:axId val="158143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1377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pivotSource>
    <c:name>[Catálogos de Gestão_Dados_copia.xlsx]Análises_Dashboards!PivotTable7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 - Mod. Semantic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Análises_Dashboards!$B$75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Análises_Dashboards!$A$76:$A$80</c:f>
              <c:strCache>
                <c:ptCount val="4"/>
                <c:pt idx="0">
                  <c:v>Dev</c:v>
                </c:pt>
                <c:pt idx="1">
                  <c:v>Hml</c:v>
                </c:pt>
                <c:pt idx="2">
                  <c:v>Prd</c:v>
                </c:pt>
                <c:pt idx="3">
                  <c:v>Stg</c:v>
                </c:pt>
              </c:strCache>
            </c:strRef>
          </c:cat>
          <c:val>
            <c:numRef>
              <c:f>Análises_Dashboards!$B$76:$B$80</c:f>
              <c:numCache>
                <c:formatCode>General</c:formatCode>
                <c:ptCount val="4"/>
                <c:pt idx="0">
                  <c:v>27</c:v>
                </c:pt>
                <c:pt idx="1">
                  <c:v>10</c:v>
                </c:pt>
                <c:pt idx="2">
                  <c:v>125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89824"/>
        <c:axId val="158195712"/>
      </c:barChart>
      <c:catAx>
        <c:axId val="15818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95712"/>
        <c:crosses val="autoZero"/>
        <c:auto val="1"/>
        <c:lblAlgn val="ctr"/>
        <c:lblOffset val="100"/>
        <c:noMultiLvlLbl val="0"/>
      </c:catAx>
      <c:valAx>
        <c:axId val="158195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18982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0</xdr:row>
      <xdr:rowOff>166687</xdr:rowOff>
    </xdr:from>
    <xdr:to>
      <xdr:col>10</xdr:col>
      <xdr:colOff>161925</xdr:colOff>
      <xdr:row>13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180975</xdr:colOff>
      <xdr:row>15</xdr:row>
      <xdr:rowOff>176212</xdr:rowOff>
    </xdr:from>
    <xdr:to>
      <xdr:col>7</xdr:col>
      <xdr:colOff>219075</xdr:colOff>
      <xdr:row>24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123825</xdr:colOff>
      <xdr:row>27</xdr:row>
      <xdr:rowOff>66674</xdr:rowOff>
    </xdr:from>
    <xdr:to>
      <xdr:col>10</xdr:col>
      <xdr:colOff>95250</xdr:colOff>
      <xdr:row>38</xdr:row>
      <xdr:rowOff>42861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66674</xdr:colOff>
      <xdr:row>61</xdr:row>
      <xdr:rowOff>100012</xdr:rowOff>
    </xdr:from>
    <xdr:to>
      <xdr:col>4</xdr:col>
      <xdr:colOff>466724</xdr:colOff>
      <xdr:row>72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80</xdr:row>
      <xdr:rowOff>138112</xdr:rowOff>
    </xdr:from>
    <xdr:to>
      <xdr:col>4</xdr:col>
      <xdr:colOff>523875</xdr:colOff>
      <xdr:row>95</xdr:row>
      <xdr:rowOff>23812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GER SENA DA SILVA" refreshedDate="46031.392173148153" createdVersion="8" refreshedVersion="8" minRefreshableVersion="3" recordCount="56">
  <cacheSource type="worksheet">
    <worksheetSource ref="A3:O59" sheet="Catálogo_Reports"/>
  </cacheSource>
  <cacheFields count="14">
    <cacheField name="Relatório" numFmtId="0">
      <sharedItems count="56">
        <s v="Energia_GrupoEP_V4"/>
        <s v="Indicadores de Frotas - ok"/>
        <s v="Indicadores de Frotas _V4"/>
        <s v="Painel Compras"/>
        <s v="Painel Contratos"/>
        <s v="Painel Pagamentos"/>
        <s v="Painel Painéis Rodoviários"/>
        <s v="Análise Dados Whatsapp_DQ"/>
        <s v="Análise Dados Whatsapp_DQ_v2"/>
        <s v="Análise de Desempenho Chatbot"/>
        <s v="Performance Campanhas"/>
        <s v="Acompanhamento Número Diário - Exibidora"/>
        <s v="acompanhamento_comercial"/>
        <s v="AdManager_Germanica"/>
        <s v="atualizacao_tab_precos"/>
        <s v="categorias_branco"/>
        <s v="Dash_Merchan"/>
        <s v="desempenho_comercial"/>
        <s v="desempenho_comercial_dev_v1.1.0"/>
        <s v="mapa_calor_cidades"/>
        <s v="mapa_cnaes"/>
        <s v="Monitoramento Em Desenvolvimento v3"/>
        <s v="Monitoramento Mercado Publicitário"/>
        <s v="monitoramento_crowley"/>
        <s v="monitoramento_mercado_publicitario_v2"/>
        <s v="painel_executivos"/>
        <s v="Previsao_PBI"/>
        <s v="Vendas Multimeios"/>
        <s v="vendas_tv_global"/>
        <s v="Calendário Corporativo PBI"/>
        <s v="sumario_executivo_prd"/>
        <s v="EP_Tickets"/>
        <s v="Painel de Caixa"/>
        <s v="Painel de Caixa Acionistas"/>
        <s v="Painel de Vendas"/>
        <s v="Resultado_Eventos_v01"/>
        <s v="Resumo Investimentos"/>
        <s v="Sumario Executivo Verticais"/>
        <s v="CALENDARIOJORNALISMO"/>
        <s v="painel_ga3_dev_01"/>
        <s v="painel_ga3_Esp_Publi"/>
        <s v="mensuração_mkt"/>
        <s v="Calendário de Programação_2025"/>
        <s v="Desempenho - Entretenimento"/>
        <s v="Desempenho - Jornalismo Local"/>
        <s v="Desempenho Programação"/>
        <s v="Grade Diária"/>
        <s v="Grade_Diaria_v.2"/>
        <s v="Painel Gerencial - Promo e Ativação"/>
        <s v="Painel Gerencial - Redes Sociais"/>
        <s v="powerbi_relatorios"/>
        <s v="Censo_EPTV"/>
        <s v="Orçamento_2026"/>
        <s v="painel_pessoas_prd_v1.1.0.pbix"/>
        <s v="Remuneração_BI"/>
        <s v="Unidade_Eventos"/>
      </sharedItems>
    </cacheField>
    <cacheField name="Status" numFmtId="0">
      <sharedItems count="3">
        <s v="Erro"/>
        <s v="Parado"/>
        <s v="Publicado"/>
      </sharedItems>
    </cacheField>
    <cacheField name="Ano" numFmtId="0">
      <sharedItems containsSemiMixedTypes="0" containsString="0" containsNumber="1" containsInteger="1" minValue="2023" maxValue="2026" count="4">
        <n v="2025"/>
        <n v="2024"/>
        <n v="2026"/>
        <n v="2023"/>
      </sharedItems>
    </cacheField>
    <cacheField name="Última Atualização" numFmtId="14">
      <sharedItems containsSemiMixedTypes="0" containsNonDate="0" containsDate="1" containsString="0" minDate="2023-11-17T00:00:00" maxDate="2026-01-06T00:00:00"/>
    </cacheField>
    <cacheField name="Hora Atualização" numFmtId="0">
      <sharedItems/>
    </cacheField>
    <cacheField name="Cluster de Hora" numFmtId="0">
      <sharedItems count="10">
        <s v="11"/>
        <s v="14"/>
        <s v="16"/>
        <s v="08"/>
        <s v="15"/>
        <s v="10"/>
        <s v="19"/>
        <s v="07"/>
        <s v="17"/>
        <s v="09"/>
      </sharedItems>
    </cacheField>
    <cacheField name="Período de Atualização" numFmtId="0">
      <sharedItems count="3">
        <s v="Manhã"/>
        <s v="Tarde"/>
        <s v="Noite"/>
      </sharedItems>
    </cacheField>
    <cacheField name="Refresh" numFmtId="0">
      <sharedItems/>
    </cacheField>
    <cacheField name="Frequencia Atualização" numFmtId="0">
      <sharedItems/>
    </cacheField>
    <cacheField name="Contato Cliente" numFmtId="0">
      <sharedItems count="17">
        <s v="RAFAEL DE OLIVEIRA GOMES"/>
        <s v="LUCAS SILVA SPESSOTO"/>
        <s v="BRUNO MASCARO WOTH"/>
        <s v="GUILHERME POMPEO"/>
        <s v="Hugo Henrique Cardoso Santos"/>
        <s v="CAIO SIQUEIRA NOVO"/>
        <s v="LAIS KUMASAKA SANTOS"/>
        <s v="BI Grupo EP"/>
        <s v="FELIPE PEREIRA CORREIA"/>
        <s v="JORGE KENDI NAKANO"/>
        <s v="CAROLINA PAZINATO"/>
        <s v="PRISCILA FREDERICO SILVA FERNANDES"/>
        <s v="MARILENE ALVES MARTINS PIRES"/>
        <s v="Wagner Donisete Francisco"/>
        <s v="LEONARDO BRUNO RODRIGUES"/>
        <s v="ALEXANDRE DE OLIVEIRA"/>
        <s v="FELIPE MONTE BARBOSA"/>
      </sharedItems>
    </cacheField>
    <cacheField name="Contato cliente atualizado" numFmtId="0">
      <sharedItems count="19">
        <s v="Lucas Cabrini"/>
        <s v="LUCAS SILVA SPESSOTO"/>
        <s v="BRUNO MASCARO WOTH"/>
        <s v="Hugo Henrique Cardoso Santos"/>
        <s v="CAIO SIQUEIRA NOVO"/>
        <s v="Stefani Espinosa"/>
        <s v="Kamyle"/>
        <s v="JORGE KENDI NAKANO"/>
        <s v="Tássia"/>
        <s v="CAROLINA PAZINATO"/>
        <s v="?"/>
        <s v="Otaviano"/>
        <s v="Caio Maciel"/>
        <s v="Wagner Donisete Francisco"/>
        <s v="Fabiana Teixeira"/>
        <s v="Gabi Delman"/>
        <s v="Larissa Gonzalez"/>
        <s v="Mariane dias + Alexandre"/>
        <s v="FELIPE MONTE BARBOSA"/>
      </sharedItems>
    </cacheField>
    <cacheField name="WS" numFmtId="0">
      <sharedItems/>
    </cacheField>
    <cacheField name="link relatório" numFmtId="0">
      <sharedItems/>
    </cacheField>
    <cacheField name="Link PBIX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OGER SENA DA SILVA" refreshedDate="46031.392173726847" createdVersion="8" refreshedVersion="8" minRefreshableVersion="3" recordCount="25">
  <cacheSource type="worksheet">
    <worksheetSource ref="A1:C26" sheet="Workspaces"/>
  </cacheSource>
  <cacheFields count="3">
    <cacheField name="WS" numFmtId="0">
      <sharedItems/>
    </cacheField>
    <cacheField name="Tipo" numFmtId="0">
      <sharedItems count="4">
        <s v="Prd"/>
        <s v="Dev"/>
        <s v="Stg"/>
        <s v="Hml"/>
      </sharedItems>
    </cacheField>
    <cacheField name="Modelo Semanticos" numFmtId="0">
      <sharedItems containsSemiMixedTypes="0" containsString="0" containsNumber="1" containsInteger="1" minValue="1" maxValue="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6">
  <r>
    <x v="0"/>
    <x v="0"/>
    <x v="0"/>
    <d v="2025-10-02T00:00:00"/>
    <s v="11:05"/>
    <x v="0"/>
    <x v="0"/>
    <s v="Manual"/>
    <s v="N/A"/>
    <x v="0"/>
    <x v="0"/>
    <s v="wks-pbi-adm-prd"/>
    <s v="https://app.powerbi.com/groups/838a4381-6a88-4235-a361-df7349246528/reports/d058aaa0-015c-49b5-8e02-ee46ae311135/ReportSectiond7342d1aaff24c9ab1d6?experience=power-bi"/>
    <m/>
  </r>
  <r>
    <x v="1"/>
    <x v="1"/>
    <x v="1"/>
    <d v="2024-09-27T00:00:00"/>
    <s v="14:58"/>
    <x v="1"/>
    <x v="1"/>
    <s v="Manual"/>
    <s v="N/A"/>
    <x v="0"/>
    <x v="0"/>
    <s v="wks-pbi-adm-prd"/>
    <s v="https://app.powerbi.com/groups/838a4381-6a88-4235-a361-df7349246528/reports/c3799651-2168-41e3-9fc8-ad087e924608/ReportSection?experience=power-bi"/>
    <m/>
  </r>
  <r>
    <x v="2"/>
    <x v="1"/>
    <x v="1"/>
    <d v="2024-09-02T00:00:00"/>
    <s v="16:55"/>
    <x v="2"/>
    <x v="1"/>
    <s v="Manual"/>
    <s v="N/A"/>
    <x v="0"/>
    <x v="0"/>
    <s v="wks-pbi-adm-prd"/>
    <s v="https://app.powerbi.com/groups/838a4381-6a88-4235-a361-df7349246528/reports/d8edef05-492d-4671-bda2-33140c87cf66/ReportSection?experience=power-bi"/>
    <m/>
  </r>
  <r>
    <x v="3"/>
    <x v="2"/>
    <x v="2"/>
    <d v="2026-01-04T00:00:00"/>
    <s v="08:51"/>
    <x v="3"/>
    <x v="0"/>
    <s v="Manual"/>
    <s v="N/A"/>
    <x v="1"/>
    <x v="1"/>
    <s v="wks-pbi-buy-prd"/>
    <s v="https://app.powerbi.com/groups/3ed8daac-5cc7-47f5-b4f3-adfe6deaacc7/reports/c649b5a6-e884-459b-a12f-3df45ec454ba/5a4150d11bfee93f77ff?experience=power-bi"/>
    <m/>
  </r>
  <r>
    <x v="4"/>
    <x v="2"/>
    <x v="2"/>
    <d v="2026-01-04T00:00:00"/>
    <s v="08:56"/>
    <x v="3"/>
    <x v="0"/>
    <s v="Manual"/>
    <s v="N/A"/>
    <x v="1"/>
    <x v="1"/>
    <s v="wks-pbi-buy-prd"/>
    <s v="https://app.powerbi.com/groups/3ed8daac-5cc7-47f5-b4f3-adfe6deaacc7/reports/9db99cc0-40fa-4283-b025-0a489d0dedae/da12b02cfa49485b8e7e?experience=power-bi"/>
    <m/>
  </r>
  <r>
    <x v="5"/>
    <x v="2"/>
    <x v="0"/>
    <d v="2025-10-06T00:00:00"/>
    <s v="15:42"/>
    <x v="4"/>
    <x v="1"/>
    <s v="Manual"/>
    <s v="N/A"/>
    <x v="1"/>
    <x v="1"/>
    <s v="wks-pbi-buy-prd"/>
    <s v="https://app.powerbi.com/groups/3ed8daac-5cc7-47f5-b4f3-adfe6deaacc7/reports/4549ddab-b6ef-43cc-83e2-27a747ff31ae/4fc3134bfe06f0673610?experience=power-bi"/>
    <m/>
  </r>
  <r>
    <x v="6"/>
    <x v="2"/>
    <x v="0"/>
    <d v="2025-12-15T00:00:00"/>
    <s v="10:42"/>
    <x v="5"/>
    <x v="0"/>
    <s v="Manual"/>
    <s v="N/A"/>
    <x v="1"/>
    <x v="1"/>
    <s v="wks-pbi-buy-prd"/>
    <s v="https://app.powerbi.com/groups/3ed8daac-5cc7-47f5-b4f3-adfe6deaacc7/reports/77bac18c-0aff-447b-9337-ec3396fef41d/ff47f72423a2d37a51f5?experience=power-bi"/>
    <m/>
  </r>
  <r>
    <x v="7"/>
    <x v="0"/>
    <x v="0"/>
    <d v="2025-12-03T00:00:00"/>
    <s v="19:46"/>
    <x v="6"/>
    <x v="2"/>
    <s v="Manual"/>
    <s v="N/A"/>
    <x v="2"/>
    <x v="2"/>
    <s v="wks-pbi-cex-prd"/>
    <s v="https://app.powerbi.com/groups/e12eb10e-3ad3-4583-baa8-c1b72159e21c/reports/2bf938db-95ae-46c0-a339-00a38338d3ad/bd468b9111040080c465?experience=power-bi"/>
    <m/>
  </r>
  <r>
    <x v="8"/>
    <x v="0"/>
    <x v="0"/>
    <d v="2025-12-10T00:00:00"/>
    <s v="19:47"/>
    <x v="6"/>
    <x v="2"/>
    <s v="Manual"/>
    <s v="N/A"/>
    <x v="2"/>
    <x v="2"/>
    <s v="wks-pbi-cex-prd"/>
    <s v="https://app.powerbi.com/groups/e12eb10e-3ad3-4583-baa8-c1b72159e21c/reports/0343661d-5eda-4a4d-9d20-a505fd47dae2/bd468b9111040080c465?experience=power-bi"/>
    <m/>
  </r>
  <r>
    <x v="9"/>
    <x v="0"/>
    <x v="1"/>
    <d v="2024-05-13T00:00:00"/>
    <s v="08:39"/>
    <x v="3"/>
    <x v="0"/>
    <s v="Manual"/>
    <s v="N/A"/>
    <x v="3"/>
    <x v="3"/>
    <s v="wks-pbi-cex-prd"/>
    <s v="https://app.powerbi.com/groups/e12eb10e-3ad3-4583-baa8-c1b72159e21c/reports/f1efa003-e9f6-4c09-9024-d554cffc39e0/ReportSection8a4ad52bccb83b84b7ab?experience=power-bi"/>
    <m/>
  </r>
  <r>
    <x v="10"/>
    <x v="1"/>
    <x v="1"/>
    <d v="2024-05-13T00:00:00"/>
    <s v="08:39"/>
    <x v="3"/>
    <x v="0"/>
    <s v="Dataset (Análise de Desempenho Chatbot)"/>
    <s v="N/A"/>
    <x v="4"/>
    <x v="3"/>
    <s v="wks-pbi-cex-prd"/>
    <s v="https://app.powerbi.com/groups/e12eb10e-3ad3-4583-baa8-c1b72159e21c/reports/3034b08e-4cbf-410a-a48f-f88699c56aa7/ReportSection7dfde4cb4517317c37c8?experience=power-bi"/>
    <m/>
  </r>
  <r>
    <x v="11"/>
    <x v="0"/>
    <x v="0"/>
    <d v="2025-10-10T00:00:00"/>
    <s v="15:48"/>
    <x v="4"/>
    <x v="1"/>
    <s v="Manual"/>
    <s v="N/A"/>
    <x v="5"/>
    <x v="4"/>
    <s v="wks-pbi-com-prd"/>
    <s v="https://app.powerbi.com/groups/0b73efc3-c3cc-45f1-9240-519e55b13de5/reports/6cac744f-517b-4b2d-9b4a-6d134a29e855/ReportSection?experience=power-bi"/>
    <m/>
  </r>
  <r>
    <x v="12"/>
    <x v="2"/>
    <x v="2"/>
    <d v="2026-01-05T00:00:00"/>
    <s v="10:09"/>
    <x v="5"/>
    <x v="0"/>
    <s v="Automático"/>
    <s v="Seg a Sex (09h00 AM)"/>
    <x v="3"/>
    <x v="5"/>
    <s v="wks-pbi-com-prd"/>
    <s v="https://app.powerbi.com/groups/0b73efc3-c3cc-45f1-9240-519e55b13de5/reports/d866895f-054d-4d28-b2cd-a823d56a437f/ReportSectionf4fb37d80c785054c4d7?experience=power-bi"/>
    <m/>
  </r>
  <r>
    <x v="13"/>
    <x v="2"/>
    <x v="0"/>
    <d v="2025-11-14T00:00:00"/>
    <s v="07:14"/>
    <x v="7"/>
    <x v="0"/>
    <s v="Manual"/>
    <s v="N/A"/>
    <x v="6"/>
    <x v="6"/>
    <s v="wks-pbi-com-prd"/>
    <s v="https://app.powerbi.com/groups/0b73efc3-c3cc-45f1-9240-519e55b13de5/reports/8dc30ba7-93f5-4bea-a099-1bc1f6893c18/a51969adacf1e9333da7?experience=power-bi"/>
    <m/>
  </r>
  <r>
    <x v="14"/>
    <x v="2"/>
    <x v="2"/>
    <d v="2026-01-02T00:00:00"/>
    <s v="14:50"/>
    <x v="1"/>
    <x v="1"/>
    <s v="Manual"/>
    <s v="N/A"/>
    <x v="5"/>
    <x v="4"/>
    <s v="wks-pbi-com-prd"/>
    <s v="https://app.powerbi.com/groups/0b73efc3-c3cc-45f1-9240-519e55b13de5/reports/4e1339f6-5518-4cee-98dc-7f5ff61b6793/f682ea996959ceced17a?experience=power-bi"/>
    <m/>
  </r>
  <r>
    <x v="15"/>
    <x v="0"/>
    <x v="0"/>
    <d v="2025-10-08T00:00:00"/>
    <s v="19:59"/>
    <x v="6"/>
    <x v="2"/>
    <s v="Manual"/>
    <s v="N/A"/>
    <x v="5"/>
    <x v="4"/>
    <s v="wks-pbi-com-prd"/>
    <s v="https://app.powerbi.com/groups/0b73efc3-c3cc-45f1-9240-519e55b13de5/reports/5b2320e8-73a3-4ad3-b74e-af633d57ac44/e1440ed9aad71734e1de?experience=power-bi"/>
    <m/>
  </r>
  <r>
    <x v="16"/>
    <x v="1"/>
    <x v="0"/>
    <d v="2025-05-06T00:00:00"/>
    <s v="15:39"/>
    <x v="4"/>
    <x v="1"/>
    <s v="Manual"/>
    <s v="N/A"/>
    <x v="5"/>
    <x v="4"/>
    <s v="wks-pbi-com-prd"/>
    <s v="https://app.powerbi.com/groups/0b73efc3-c3cc-45f1-9240-519e55b13de5/reports/db9b686d-3601-45ec-a521-baebd036a99b/ReportSection93b9c5a540070241d110?experience=power-bi"/>
    <m/>
  </r>
  <r>
    <x v="17"/>
    <x v="2"/>
    <x v="2"/>
    <d v="2026-01-05T00:00:00"/>
    <s v="10:09"/>
    <x v="5"/>
    <x v="0"/>
    <s v="Automático"/>
    <s v="Seg a Sex (09h00 AM)"/>
    <x v="7"/>
    <x v="5"/>
    <s v="wks-pbi-com-prd"/>
    <s v="https://app.powerbi.com/groups/0b73efc3-c3cc-45f1-9240-519e55b13de5/reports/2afb6ada-d06d-4b08-99f6-43f2aa233dcf/ReportSection5e48ade135d1eebedc68?experience=power-bi"/>
    <m/>
  </r>
  <r>
    <x v="18"/>
    <x v="2"/>
    <x v="0"/>
    <d v="2025-10-08T00:00:00"/>
    <s v="16:53"/>
    <x v="2"/>
    <x v="1"/>
    <s v="Manual"/>
    <s v="N/A"/>
    <x v="8"/>
    <x v="5"/>
    <s v="wks-pbi-com-prd"/>
    <s v="https://app.powerbi.com/groups/0b73efc3-c3cc-45f1-9240-519e55b13de5/reports/173231fb-49f8-4548-89e7-6a93f3d631be/ReportSection?experience=power-bi"/>
    <m/>
  </r>
  <r>
    <x v="19"/>
    <x v="1"/>
    <x v="0"/>
    <d v="2025-08-25T00:00:00"/>
    <s v="10:17"/>
    <x v="5"/>
    <x v="0"/>
    <s v="Manual"/>
    <s v="N/A"/>
    <x v="5"/>
    <x v="4"/>
    <s v="wks-pbi-com-prd"/>
    <s v="https://app.powerbi.com/groups/0b73efc3-c3cc-45f1-9240-519e55b13de5/reports/2175a380-1701-488d-b49f-7d64ce213be1/6780d7a390ce00eed033?experience=power-bi"/>
    <m/>
  </r>
  <r>
    <x v="20"/>
    <x v="1"/>
    <x v="0"/>
    <d v="2025-06-05T00:00:00"/>
    <s v="14:52"/>
    <x v="1"/>
    <x v="1"/>
    <s v="Manual"/>
    <s v="N/A"/>
    <x v="5"/>
    <x v="4"/>
    <s v="wks-pbi-com-prd"/>
    <s v="https://app.powerbi.com/groups/0b73efc3-c3cc-45f1-9240-519e55b13de5/reports/e8bdb7c9-13de-4a14-a22a-89571f078e8d/5ef9380866af99e6f646?experience=power-bi"/>
    <m/>
  </r>
  <r>
    <x v="21"/>
    <x v="1"/>
    <x v="0"/>
    <d v="2025-08-07T00:00:00"/>
    <s v="07:00"/>
    <x v="7"/>
    <x v="0"/>
    <s v="Manual"/>
    <s v="N/A"/>
    <x v="5"/>
    <x v="4"/>
    <s v="wks-pbi-com-prd"/>
    <s v="https://app.powerbi.com/groups/0b73efc3-c3cc-45f1-9240-519e55b13de5/reports/042117a0-d77e-4ebc-b746-e6347c237862/ReportSection3acf047a91221556068a?experience=power-bi"/>
    <m/>
  </r>
  <r>
    <x v="22"/>
    <x v="1"/>
    <x v="0"/>
    <d v="2025-09-08T00:00:00"/>
    <s v="08:03"/>
    <x v="3"/>
    <x v="0"/>
    <s v="Manual"/>
    <s v="N/A"/>
    <x v="5"/>
    <x v="4"/>
    <s v="wks-pbi-com-prd"/>
    <s v="https://app.powerbi.com/groups/0b73efc3-c3cc-45f1-9240-519e55b13de5/reports/443cb954-f369-4809-88bd-a164b0533d5d/ReportSection3acf047a91221556068a?experience=power-bi"/>
    <m/>
  </r>
  <r>
    <x v="23"/>
    <x v="2"/>
    <x v="2"/>
    <d v="2026-01-05T00:00:00"/>
    <s v="11:32"/>
    <x v="0"/>
    <x v="0"/>
    <s v="Manual"/>
    <s v="N/A"/>
    <x v="9"/>
    <x v="7"/>
    <s v="wks-pbi-com-prd"/>
    <s v="https://app.powerbi.com/groups/0b73efc3-c3cc-45f1-9240-519e55b13de5/reports/75c1d0a3-633a-4664-a63d-db4af4da3054/ReportSection3bedbf2a4d8846e049a4?experience=power-bi"/>
    <m/>
  </r>
  <r>
    <x v="24"/>
    <x v="2"/>
    <x v="0"/>
    <d v="2025-12-16T00:00:00"/>
    <s v="17:30"/>
    <x v="8"/>
    <x v="1"/>
    <s v="Manual"/>
    <s v="N/A"/>
    <x v="5"/>
    <x v="4"/>
    <s v="wks-pbi-com-prd"/>
    <s v="https://app.powerbi.com/groups/0b73efc3-c3cc-45f1-9240-519e55b13de5/reports/8ad3ce2b-ffef-4bfc-be73-332bc52cf050/7cc0a6e2748e7d68eb0f?experience=power-bi"/>
    <m/>
  </r>
  <r>
    <x v="25"/>
    <x v="2"/>
    <x v="0"/>
    <d v="2025-12-09T00:00:00"/>
    <s v="15:43"/>
    <x v="4"/>
    <x v="1"/>
    <s v="Manual"/>
    <s v="N/A"/>
    <x v="5"/>
    <x v="4"/>
    <s v="wks-pbi-com-prd"/>
    <s v="https://app.powerbi.com/groups/0b73efc3-c3cc-45f1-9240-519e55b13de5/reports/c9168679-b7c7-42fa-b5b5-5e2685f04089/56bbb6ba9a712ac970b2?experience=power-bi"/>
    <m/>
  </r>
  <r>
    <x v="26"/>
    <x v="0"/>
    <x v="0"/>
    <d v="2025-10-09T00:00:00"/>
    <s v="07:35"/>
    <x v="7"/>
    <x v="0"/>
    <s v="Manual"/>
    <s v="N/A"/>
    <x v="7"/>
    <x v="8"/>
    <s v="wks-pbi-com-prd"/>
    <s v="https://app.powerbi.com/groups/0b73efc3-c3cc-45f1-9240-519e55b13de5/reports/660a214f-c80f-4fca-9b0b-0e9206688116/ReportSection05fa94f7faf2f2033289?experience=power-bi"/>
    <m/>
  </r>
  <r>
    <x v="27"/>
    <x v="0"/>
    <x v="1"/>
    <d v="2024-10-03T00:00:00"/>
    <s v="08:43"/>
    <x v="3"/>
    <x v="0"/>
    <s v="Manual"/>
    <s v="N/A"/>
    <x v="5"/>
    <x v="4"/>
    <s v="wks-pbi-com-prd"/>
    <s v="https://app.powerbi.com/groups/0b73efc3-c3cc-45f1-9240-519e55b13de5/reports/a5dc3af9-6577-4906-9fb9-38cb60c3b878/ReportSection?experience=power-bi"/>
    <m/>
  </r>
  <r>
    <x v="28"/>
    <x v="2"/>
    <x v="2"/>
    <d v="2026-01-05T00:00:00"/>
    <s v="10:12"/>
    <x v="5"/>
    <x v="0"/>
    <s v="Automático"/>
    <s v="Seg a Sex (09h00 AM)"/>
    <x v="3"/>
    <x v="5"/>
    <s v="wks-pbi-com-prd"/>
    <s v="https://app.powerbi.com/groups/0b73efc3-c3cc-45f1-9240-519e55b13de5/reports/73579a6e-d9b5-4ced-ac6a-b30c33907187/ReportSection?experience=power-bi"/>
    <m/>
  </r>
  <r>
    <x v="29"/>
    <x v="0"/>
    <x v="0"/>
    <d v="2025-12-30T00:00:00"/>
    <s v="17:08"/>
    <x v="8"/>
    <x v="1"/>
    <s v="Automático"/>
    <s v="Seg a Sex (5 AM / 1 PM)"/>
    <x v="10"/>
    <x v="9"/>
    <s v="wks-pbi-corp-public-prd"/>
    <s v="https://app.powerbi.com/groups/43774005-3ad4-4a71-a12c-c70f24edf487/reports/6f5b4d09-1f91-4f25-83cf-a61b246e0f73/ReportSection85ac17efa0c8bfd8a61b?experience=power-bi"/>
    <m/>
  </r>
  <r>
    <x v="30"/>
    <x v="2"/>
    <x v="0"/>
    <d v="2025-12-10T00:00:00"/>
    <s v="10:19"/>
    <x v="5"/>
    <x v="0"/>
    <s v="Manual"/>
    <s v="N/A"/>
    <x v="8"/>
    <x v="10"/>
    <s v="wks-pbi-dir-prd"/>
    <s v="https://app.powerbi.com/groups/6d38c256-3ede-43cc-83c5-3510a3e6bc0c/reports/85c77c92-a419-401c-bbba-fc325dd54792/8dd33efa2054a907125c?experience=power-bi"/>
    <m/>
  </r>
  <r>
    <x v="31"/>
    <x v="1"/>
    <x v="1"/>
    <d v="2024-10-21T00:00:00"/>
    <s v="07:43"/>
    <x v="7"/>
    <x v="0"/>
    <s v="Manual"/>
    <s v="N/A"/>
    <x v="8"/>
    <x v="11"/>
    <s v="wks-pbi-fin-prd"/>
    <s v="https://app.powerbi.com/groups/fad50932-b25d-41c1-b165-1c1d0af6b5ad/reports/70611264-0a4b-441b-9b9d-af6c747d950d/ReportSection?experience=power-bi"/>
    <m/>
  </r>
  <r>
    <x v="32"/>
    <x v="2"/>
    <x v="2"/>
    <d v="2026-01-05T00:00:00"/>
    <s v="14:42"/>
    <x v="1"/>
    <x v="1"/>
    <s v="Automático"/>
    <s v="Seg a Sex (14h00 PM)"/>
    <x v="8"/>
    <x v="8"/>
    <s v="wks-pbi-fin-prd"/>
    <s v="https://app.powerbi.com/groups/fad50932-b25d-41c1-b165-1c1d0af6b5ad/reports/0043bf98-4562-4f5f-8147-7876e1eead23/ReportSectionaf5bb3f07064d5d02b85?experience=power-bi"/>
    <m/>
  </r>
  <r>
    <x v="33"/>
    <x v="2"/>
    <x v="2"/>
    <d v="2026-01-05T00:00:00"/>
    <s v="14:42"/>
    <x v="1"/>
    <x v="1"/>
    <s v="Dataset (Painel de Caixa)"/>
    <s v="Seg a Sex (14h00 PM)"/>
    <x v="8"/>
    <x v="8"/>
    <s v="wks-pbi-fin-prd"/>
    <s v="https://app.powerbi.com/groups/fad50932-b25d-41c1-b165-1c1d0af6b5ad/reports/0d699623-dbe8-4dc9-b358-708e693eefda/ReportSection6acb9ceebed1f3bfc770?experience=power-bi"/>
    <m/>
  </r>
  <r>
    <x v="34"/>
    <x v="2"/>
    <x v="2"/>
    <d v="2026-01-05T00:00:00"/>
    <s v="11:16"/>
    <x v="0"/>
    <x v="0"/>
    <s v="Manual"/>
    <s v="N/A"/>
    <x v="11"/>
    <x v="8"/>
    <s v="wks-pbi-fin-prd"/>
    <s v="https://app.powerbi.com/groups/fad50932-b25d-41c1-b165-1c1d0af6b5ad/reports/abcb24cc-551b-437f-8beb-c7c0609d8e4f/ReportSection687b59ba95a4704a3060?experience=power-bi"/>
    <m/>
  </r>
  <r>
    <x v="35"/>
    <x v="1"/>
    <x v="0"/>
    <d v="2025-05-14T00:00:00"/>
    <s v="16:31"/>
    <x v="2"/>
    <x v="1"/>
    <s v="Manual"/>
    <s v="N/A"/>
    <x v="12"/>
    <x v="8"/>
    <s v="wks-pbi-fin-prd"/>
    <s v="https://app.powerbi.com/groups/fad50932-b25d-41c1-b165-1c1d0af6b5ad/reports/f6ab3336-974c-4092-915d-6385c8aa7e9f/ReportSection?experience=power-bi"/>
    <m/>
  </r>
  <r>
    <x v="36"/>
    <x v="1"/>
    <x v="1"/>
    <d v="2024-12-10T00:00:00"/>
    <s v="14:35"/>
    <x v="1"/>
    <x v="1"/>
    <s v="Manual"/>
    <s v="N/A"/>
    <x v="11"/>
    <x v="8"/>
    <s v="wks-pbi-fin-prd"/>
    <s v="https://app.powerbi.com/groups/fad50932-b25d-41c1-b165-1c1d0af6b5ad/reports/286ec12f-9f1a-4d17-99ed-93fefd19ffa3/ReportSectionb2f5ee7af6690314adf8?experience=power-bi"/>
    <m/>
  </r>
  <r>
    <x v="37"/>
    <x v="2"/>
    <x v="0"/>
    <d v="2025-12-10T00:00:00"/>
    <s v="14:25"/>
    <x v="1"/>
    <x v="1"/>
    <s v="Manual"/>
    <s v="N/A"/>
    <x v="11"/>
    <x v="8"/>
    <s v="wks-pbi-fin-prd"/>
    <s v="https://app.powerbi.com/groups/fad50932-b25d-41c1-b165-1c1d0af6b5ad/reports/f82d75a0-5f3d-4fb5-aef6-c126e0343e73/085031f247a4519793b2?experience=power-bi"/>
    <m/>
  </r>
  <r>
    <x v="38"/>
    <x v="2"/>
    <x v="2"/>
    <d v="2026-01-05T00:00:00"/>
    <s v="16:35"/>
    <x v="2"/>
    <x v="1"/>
    <s v="Automático"/>
    <s v="Todos os dias (a cada 30min)"/>
    <x v="2"/>
    <x v="2"/>
    <s v="wks-pbi-jor-prd"/>
    <s v="https://app.powerbi.com/groups/571a4a31-79dc-4124-91a1-4130706f9cc2/reports/2e7f3edf-a20e-4e06-95b2-2c723eada0cd/18815937573722a722a0?experience=power-bi"/>
    <m/>
  </r>
  <r>
    <x v="39"/>
    <x v="2"/>
    <x v="0"/>
    <d v="2025-06-24T00:00:00"/>
    <s v="11:53"/>
    <x v="0"/>
    <x v="0"/>
    <s v="Manual"/>
    <s v="N/A"/>
    <x v="8"/>
    <x v="10"/>
    <s v="wks-pbi-jor-prd"/>
    <s v="https://app.powerbi.com/groups/571a4a31-79dc-4124-91a1-4130706f9cc2/reports/83ea662b-2b13-4b5c-8892-f5bf2fc467f4/52cfb4860c86c810203d?experience=power-bi"/>
    <m/>
  </r>
  <r>
    <x v="40"/>
    <x v="1"/>
    <x v="0"/>
    <d v="2025-09-04T00:00:00"/>
    <s v="11:02"/>
    <x v="0"/>
    <x v="0"/>
    <s v="Manual"/>
    <s v="N/A"/>
    <x v="8"/>
    <x v="10"/>
    <s v="wks-pbi-jor-prd"/>
    <s v="https://app.powerbi.com/groups/571a4a31-79dc-4124-91a1-4130706f9cc2/reports/c931bc47-def5-40bf-bbf7-a95af64a8d70/4b81ef72c980610b7d04?experience=power-bi"/>
    <m/>
  </r>
  <r>
    <x v="41"/>
    <x v="2"/>
    <x v="2"/>
    <d v="2026-01-05T00:00:00"/>
    <s v="16:10"/>
    <x v="2"/>
    <x v="1"/>
    <s v="Automático"/>
    <s v="Seg a Sex (6x)"/>
    <x v="8"/>
    <x v="12"/>
    <s v="wks-pbi-mkt-prd"/>
    <s v="https://app.powerbi.com/groups/35450d52-832b-4557-98f5-f2f88da17c40/reports/55619e5f-743c-4f9b-b28e-2cb54d1af00b/85ea98cc438ee0202140?experience=power-bi"/>
    <m/>
  </r>
  <r>
    <x v="42"/>
    <x v="0"/>
    <x v="0"/>
    <d v="2025-10-03T00:00:00"/>
    <s v="08:10"/>
    <x v="3"/>
    <x v="0"/>
    <s v="Automático"/>
    <s v="Seg a Sex (12x)"/>
    <x v="13"/>
    <x v="13"/>
    <s v="wks-pbi-pgm-prd"/>
    <s v="https://app.powerbi.com/groups/1abc4333-9f61-43db-8926-59ed05976d2a/reports/39bfe539-818e-4539-aef2-ffe90caa3280/ec43ef27269c990dc49b?experience=power-bi"/>
    <m/>
  </r>
  <r>
    <x v="43"/>
    <x v="2"/>
    <x v="2"/>
    <d v="2026-01-05T00:00:00"/>
    <s v="10:19"/>
    <x v="5"/>
    <x v="0"/>
    <s v="DataSet (Programação_v2)"/>
    <s v="N/A"/>
    <x v="14"/>
    <x v="14"/>
    <s v="wks-pbi-pgm-prd"/>
    <s v="https://app.powerbi.com/groups/1abc4333-9f61-43db-8926-59ed05976d2a/reports/32e46cf2-0530-48ca-aa6e-d981dd710314/ReportSectionae9df3a80b23d6686b7a?experience=power-bi"/>
    <m/>
  </r>
  <r>
    <x v="44"/>
    <x v="2"/>
    <x v="2"/>
    <d v="2026-01-05T00:00:00"/>
    <s v="10:19"/>
    <x v="5"/>
    <x v="0"/>
    <s v="DataSet (Programação_v2)"/>
    <s v="N/A"/>
    <x v="14"/>
    <x v="15"/>
    <s v="wks-pbi-pgm-prd"/>
    <s v="https://app.powerbi.com/groups/1abc4333-9f61-43db-8926-59ed05976d2a/reports/6a993279-54aa-4acc-9a66-0cbb9670487c/ReportSection5c3c41652098d26f5d6d?experience=power-bi"/>
    <m/>
  </r>
  <r>
    <x v="45"/>
    <x v="2"/>
    <x v="2"/>
    <d v="2026-01-05T00:00:00"/>
    <s v="10:19"/>
    <x v="5"/>
    <x v="0"/>
    <s v="DataSet (Programação_v2)"/>
    <s v="N/A"/>
    <x v="7"/>
    <x v="16"/>
    <s v="wks-pbi-pgm-prd"/>
    <s v="https://app.powerbi.com/groups/1abc4333-9f61-43db-8926-59ed05976d2a/reports/58e539c5-41f3-48d2-911b-b91404486c8c/ReportSectione422266aff923aca481a?experience=power-bi"/>
    <m/>
  </r>
  <r>
    <x v="46"/>
    <x v="2"/>
    <x v="2"/>
    <d v="2026-01-05T00:00:00"/>
    <s v="10:19"/>
    <x v="5"/>
    <x v="0"/>
    <s v="DataSet (Programação_v2)"/>
    <s v="N/A"/>
    <x v="7"/>
    <x v="16"/>
    <s v="wks-pbi-pgm-prd"/>
    <s v="https://app.powerbi.com/groups/1abc4333-9f61-43db-8926-59ed05976d2a/reports/eb3b6148-00b4-4ad0-8add-186c3aaedb89/ReportSectiondccb177ad62134478163?experience=power-bi"/>
    <m/>
  </r>
  <r>
    <x v="47"/>
    <x v="2"/>
    <x v="2"/>
    <d v="2026-01-05T00:00:00"/>
    <s v="10:19"/>
    <x v="5"/>
    <x v="0"/>
    <s v="DataSet (Programação_v2)"/>
    <s v="N/A"/>
    <x v="7"/>
    <x v="16"/>
    <s v="wks-pbi-pgm-prd"/>
    <s v="https://app.powerbi.com/groups/1abc4333-9f61-43db-8926-59ed05976d2a/reports/730f1ad5-69cc-430b-8d7d-226962a20d0c/ReportSection4516f98afd89055ba1f5?experience=power-bi"/>
    <m/>
  </r>
  <r>
    <x v="48"/>
    <x v="0"/>
    <x v="0"/>
    <d v="2025-10-03T00:00:00"/>
    <s v="08:38"/>
    <x v="3"/>
    <x v="0"/>
    <s v="Automático"/>
    <s v="Seg a Sex (3x)"/>
    <x v="13"/>
    <x v="13"/>
    <s v="wks-pbi-pgm-prd"/>
    <s v="https://app.powerbi.com/groups/1abc4333-9f61-43db-8926-59ed05976d2a/reports/559651aa-4709-489f-ae97-867ede4f7bbb/daeb4442b942000c4854?experience=power-bi"/>
    <m/>
  </r>
  <r>
    <x v="49"/>
    <x v="1"/>
    <x v="0"/>
    <d v="2025-09-16T00:00:00"/>
    <s v="19:31"/>
    <x v="6"/>
    <x v="2"/>
    <s v="Manual"/>
    <s v="N/A"/>
    <x v="13"/>
    <x v="13"/>
    <s v="wks-pbi-pgm-prd"/>
    <s v="https://app.powerbi.com/groups/1abc4333-9f61-43db-8926-59ed05976d2a/reports/fd9bc447-4f1b-4c7e-9182-aaf43bfce41b/afee19552b557534b775?experience=power-bi"/>
    <m/>
  </r>
  <r>
    <x v="50"/>
    <x v="0"/>
    <x v="0"/>
    <d v="2025-02-05T00:00:00"/>
    <s v="07:07"/>
    <x v="7"/>
    <x v="0"/>
    <s v="Automático"/>
    <s v="Seg a Sex (10h00 AM)"/>
    <x v="14"/>
    <x v="10"/>
    <s v="wks-pbi-ret-prd"/>
    <s v="https://app.powerbi.com/groups/c8250554-3e79-46cd-a860-7005e77301b1/reports/58f9a40f-c044-45a9-8c4a-5da479689b03/ReportSection?experience=power-bi"/>
    <m/>
  </r>
  <r>
    <x v="51"/>
    <x v="1"/>
    <x v="3"/>
    <d v="2023-11-17T00:00:00"/>
    <s v="09:22"/>
    <x v="9"/>
    <x v="0"/>
    <s v="Manual"/>
    <s v="N/A"/>
    <x v="8"/>
    <x v="16"/>
    <s v="wks-pbi-rhu-prd"/>
    <s v="https://app.powerbi.com/groups/4963782d-ca3c-4507-9fc1-6cfe1216c285/reports/9b292a91-e920-4525-b44d-25968d3f34a5/ReportSectionb81c2830416602600cb8?experience=power-bi"/>
    <m/>
  </r>
  <r>
    <x v="52"/>
    <x v="2"/>
    <x v="0"/>
    <d v="2025-12-02T00:00:00"/>
    <s v="17:23"/>
    <x v="8"/>
    <x v="1"/>
    <s v="Manual"/>
    <s v="N/A"/>
    <x v="15"/>
    <x v="17"/>
    <s v="wks-pbi-rhu-prd"/>
    <s v="https://app.powerbi.com/groups/4963782d-ca3c-4507-9fc1-6cfe1216c285/list?experience=power-bi"/>
    <m/>
  </r>
  <r>
    <x v="53"/>
    <x v="2"/>
    <x v="2"/>
    <d v="2026-01-05T00:00:00"/>
    <s v="09:19"/>
    <x v="9"/>
    <x v="0"/>
    <s v="Manual"/>
    <s v="N/A"/>
    <x v="8"/>
    <x v="17"/>
    <s v="wks-pbi-rhu-prd"/>
    <s v="https://app.powerbi.com/groups/4963782d-ca3c-4507-9fc1-6cfe1216c285/reports/d20476d2-f678-40c4-99d5-f27aaa535138/ReportSectione66ac756b1304c690004?experience=power-bi"/>
    <m/>
  </r>
  <r>
    <x v="54"/>
    <x v="2"/>
    <x v="2"/>
    <d v="2026-01-05T00:00:00"/>
    <s v="11:19"/>
    <x v="0"/>
    <x v="0"/>
    <s v="Manual"/>
    <s v="N/A"/>
    <x v="15"/>
    <x v="17"/>
    <s v="wks-pbi-rhu-prd"/>
    <s v="https://app.powerbi.com/groups/4963782d-ca3c-4507-9fc1-6cfe1216c285/reports/35586091-98d5-49c7-9cb9-b3becacca903/e5d37329ce878c734bbb?experience=power-bi"/>
    <m/>
  </r>
  <r>
    <x v="55"/>
    <x v="2"/>
    <x v="0"/>
    <d v="2025-12-22T00:00:00"/>
    <s v="16:06"/>
    <x v="2"/>
    <x v="1"/>
    <s v="Manual"/>
    <s v="N/A"/>
    <x v="16"/>
    <x v="18"/>
    <s v="wks-pbi-TI-prd"/>
    <s v="https://app.powerbi.com/groups/bd03572a-f34d-4ff6-9bb4-541d4ab5118c/reports/19aff478-11d2-4b6a-be42-360b0b60f8f2/ReportSectionda070571d4e0ce8838c1?experience=power-bi"/>
    <m/>
  </r>
</pivotCacheRecords>
</file>

<file path=xl/pivotCache/pivotCacheRecords2.xml><?xml version="1.0" encoding="utf-8"?>
<pivotCacheRecords xmlns="http://schemas.openxmlformats.org/spreadsheetml/2006/main" count="56">
  <r>
    <x v="0"/>
    <x v="0"/>
    <x v="0"/>
    <d v="2025-10-02T00:00:00"/>
    <s v="11:05"/>
    <x v="0"/>
    <x v="0"/>
    <s v="Manual"/>
    <s v="N/A"/>
    <x v="0"/>
    <x v="0"/>
    <s v="wks-pbi-adm-prd"/>
    <s v="https://app.powerbi.com/groups/838a4381-6a88-4235-a361-df7349246528/reports/d058aaa0-015c-49b5-8e02-ee46ae311135/ReportSectiond7342d1aaff24c9ab1d6?experience=power-bi"/>
    <m/>
  </r>
  <r>
    <x v="1"/>
    <x v="1"/>
    <x v="1"/>
    <d v="2024-09-27T00:00:00"/>
    <s v="14:58"/>
    <x v="1"/>
    <x v="1"/>
    <s v="Manual"/>
    <s v="N/A"/>
    <x v="0"/>
    <x v="0"/>
    <s v="wks-pbi-adm-prd"/>
    <s v="https://app.powerbi.com/groups/838a4381-6a88-4235-a361-df7349246528/reports/c3799651-2168-41e3-9fc8-ad087e924608/ReportSection?experience=power-bi"/>
    <m/>
  </r>
  <r>
    <x v="2"/>
    <x v="1"/>
    <x v="1"/>
    <d v="2024-09-02T00:00:00"/>
    <s v="16:55"/>
    <x v="2"/>
    <x v="1"/>
    <s v="Manual"/>
    <s v="N/A"/>
    <x v="0"/>
    <x v="0"/>
    <s v="wks-pbi-adm-prd"/>
    <s v="https://app.powerbi.com/groups/838a4381-6a88-4235-a361-df7349246528/reports/d8edef05-492d-4671-bda2-33140c87cf66/ReportSection?experience=power-bi"/>
    <m/>
  </r>
  <r>
    <x v="3"/>
    <x v="2"/>
    <x v="2"/>
    <d v="2026-01-04T00:00:00"/>
    <s v="08:51"/>
    <x v="3"/>
    <x v="0"/>
    <s v="Manual"/>
    <s v="N/A"/>
    <x v="1"/>
    <x v="1"/>
    <s v="wks-pbi-buy-prd"/>
    <s v="https://app.powerbi.com/groups/3ed8daac-5cc7-47f5-b4f3-adfe6deaacc7/reports/c649b5a6-e884-459b-a12f-3df45ec454ba/5a4150d11bfee93f77ff?experience=power-bi"/>
    <m/>
  </r>
  <r>
    <x v="4"/>
    <x v="2"/>
    <x v="2"/>
    <d v="2026-01-04T00:00:00"/>
    <s v="08:56"/>
    <x v="3"/>
    <x v="0"/>
    <s v="Manual"/>
    <s v="N/A"/>
    <x v="1"/>
    <x v="1"/>
    <s v="wks-pbi-buy-prd"/>
    <s v="https://app.powerbi.com/groups/3ed8daac-5cc7-47f5-b4f3-adfe6deaacc7/reports/9db99cc0-40fa-4283-b025-0a489d0dedae/da12b02cfa49485b8e7e?experience=power-bi"/>
    <m/>
  </r>
  <r>
    <x v="5"/>
    <x v="2"/>
    <x v="0"/>
    <d v="2025-10-06T00:00:00"/>
    <s v="15:42"/>
    <x v="4"/>
    <x v="1"/>
    <s v="Manual"/>
    <s v="N/A"/>
    <x v="1"/>
    <x v="1"/>
    <s v="wks-pbi-buy-prd"/>
    <s v="https://app.powerbi.com/groups/3ed8daac-5cc7-47f5-b4f3-adfe6deaacc7/reports/4549ddab-b6ef-43cc-83e2-27a747ff31ae/4fc3134bfe06f0673610?experience=power-bi"/>
    <m/>
  </r>
  <r>
    <x v="6"/>
    <x v="2"/>
    <x v="0"/>
    <d v="2025-12-15T00:00:00"/>
    <s v="10:42"/>
    <x v="5"/>
    <x v="0"/>
    <s v="Manual"/>
    <s v="N/A"/>
    <x v="1"/>
    <x v="1"/>
    <s v="wks-pbi-buy-prd"/>
    <s v="https://app.powerbi.com/groups/3ed8daac-5cc7-47f5-b4f3-adfe6deaacc7/reports/77bac18c-0aff-447b-9337-ec3396fef41d/ff47f72423a2d37a51f5?experience=power-bi"/>
    <m/>
  </r>
  <r>
    <x v="7"/>
    <x v="0"/>
    <x v="0"/>
    <d v="2025-12-03T00:00:00"/>
    <s v="19:46"/>
    <x v="6"/>
    <x v="2"/>
    <s v="Manual"/>
    <s v="N/A"/>
    <x v="2"/>
    <x v="2"/>
    <s v="wks-pbi-cex-prd"/>
    <s v="https://app.powerbi.com/groups/e12eb10e-3ad3-4583-baa8-c1b72159e21c/reports/2bf938db-95ae-46c0-a339-00a38338d3ad/bd468b9111040080c465?experience=power-bi"/>
    <m/>
  </r>
  <r>
    <x v="8"/>
    <x v="0"/>
    <x v="0"/>
    <d v="2025-12-10T00:00:00"/>
    <s v="19:47"/>
    <x v="6"/>
    <x v="2"/>
    <s v="Manual"/>
    <s v="N/A"/>
    <x v="2"/>
    <x v="2"/>
    <s v="wks-pbi-cex-prd"/>
    <s v="https://app.powerbi.com/groups/e12eb10e-3ad3-4583-baa8-c1b72159e21c/reports/0343661d-5eda-4a4d-9d20-a505fd47dae2/bd468b9111040080c465?experience=power-bi"/>
    <m/>
  </r>
  <r>
    <x v="9"/>
    <x v="0"/>
    <x v="1"/>
    <d v="2024-05-13T00:00:00"/>
    <s v="08:39"/>
    <x v="3"/>
    <x v="0"/>
    <s v="Manual"/>
    <s v="N/A"/>
    <x v="3"/>
    <x v="3"/>
    <s v="wks-pbi-cex-prd"/>
    <s v="https://app.powerbi.com/groups/e12eb10e-3ad3-4583-baa8-c1b72159e21c/reports/f1efa003-e9f6-4c09-9024-d554cffc39e0/ReportSection8a4ad52bccb83b84b7ab?experience=power-bi"/>
    <m/>
  </r>
  <r>
    <x v="10"/>
    <x v="1"/>
    <x v="1"/>
    <d v="2024-05-13T00:00:00"/>
    <s v="08:39"/>
    <x v="3"/>
    <x v="0"/>
    <s v="Dataset (Análise de Desempenho Chatbot)"/>
    <s v="N/A"/>
    <x v="4"/>
    <x v="3"/>
    <s v="wks-pbi-cex-prd"/>
    <s v="https://app.powerbi.com/groups/e12eb10e-3ad3-4583-baa8-c1b72159e21c/reports/3034b08e-4cbf-410a-a48f-f88699c56aa7/ReportSection7dfde4cb4517317c37c8?experience=power-bi"/>
    <m/>
  </r>
  <r>
    <x v="11"/>
    <x v="0"/>
    <x v="0"/>
    <d v="2025-10-10T00:00:00"/>
    <s v="15:48"/>
    <x v="4"/>
    <x v="1"/>
    <s v="Manual"/>
    <s v="N/A"/>
    <x v="5"/>
    <x v="4"/>
    <s v="wks-pbi-com-prd"/>
    <s v="https://app.powerbi.com/groups/0b73efc3-c3cc-45f1-9240-519e55b13de5/reports/6cac744f-517b-4b2d-9b4a-6d134a29e855/ReportSection?experience=power-bi"/>
    <m/>
  </r>
  <r>
    <x v="12"/>
    <x v="2"/>
    <x v="2"/>
    <d v="2026-01-05T00:00:00"/>
    <s v="10:09"/>
    <x v="5"/>
    <x v="0"/>
    <s v="Automático"/>
    <s v="Seg a Sex (09h00 AM)"/>
    <x v="3"/>
    <x v="5"/>
    <s v="wks-pbi-com-prd"/>
    <s v="https://app.powerbi.com/groups/0b73efc3-c3cc-45f1-9240-519e55b13de5/reports/d866895f-054d-4d28-b2cd-a823d56a437f/ReportSectionf4fb37d80c785054c4d7?experience=power-bi"/>
    <m/>
  </r>
  <r>
    <x v="13"/>
    <x v="2"/>
    <x v="0"/>
    <d v="2025-11-14T00:00:00"/>
    <s v="07:14"/>
    <x v="7"/>
    <x v="0"/>
    <s v="Manual"/>
    <s v="N/A"/>
    <x v="6"/>
    <x v="6"/>
    <s v="wks-pbi-com-prd"/>
    <s v="https://app.powerbi.com/groups/0b73efc3-c3cc-45f1-9240-519e55b13de5/reports/8dc30ba7-93f5-4bea-a099-1bc1f6893c18/a51969adacf1e9333da7?experience=power-bi"/>
    <m/>
  </r>
  <r>
    <x v="14"/>
    <x v="2"/>
    <x v="2"/>
    <d v="2026-01-02T00:00:00"/>
    <s v="14:50"/>
    <x v="1"/>
    <x v="1"/>
    <s v="Manual"/>
    <s v="N/A"/>
    <x v="5"/>
    <x v="4"/>
    <s v="wks-pbi-com-prd"/>
    <s v="https://app.powerbi.com/groups/0b73efc3-c3cc-45f1-9240-519e55b13de5/reports/4e1339f6-5518-4cee-98dc-7f5ff61b6793/f682ea996959ceced17a?experience=power-bi"/>
    <m/>
  </r>
  <r>
    <x v="15"/>
    <x v="0"/>
    <x v="0"/>
    <d v="2025-10-08T00:00:00"/>
    <s v="19:59"/>
    <x v="6"/>
    <x v="2"/>
    <s v="Manual"/>
    <s v="N/A"/>
    <x v="5"/>
    <x v="4"/>
    <s v="wks-pbi-com-prd"/>
    <s v="https://app.powerbi.com/groups/0b73efc3-c3cc-45f1-9240-519e55b13de5/reports/5b2320e8-73a3-4ad3-b74e-af633d57ac44/e1440ed9aad71734e1de?experience=power-bi"/>
    <m/>
  </r>
  <r>
    <x v="16"/>
    <x v="1"/>
    <x v="0"/>
    <d v="2025-05-06T00:00:00"/>
    <s v="15:39"/>
    <x v="4"/>
    <x v="1"/>
    <s v="Manual"/>
    <s v="N/A"/>
    <x v="5"/>
    <x v="4"/>
    <s v="wks-pbi-com-prd"/>
    <s v="https://app.powerbi.com/groups/0b73efc3-c3cc-45f1-9240-519e55b13de5/reports/db9b686d-3601-45ec-a521-baebd036a99b/ReportSection93b9c5a540070241d110?experience=power-bi"/>
    <m/>
  </r>
  <r>
    <x v="17"/>
    <x v="2"/>
    <x v="2"/>
    <d v="2026-01-05T00:00:00"/>
    <s v="10:09"/>
    <x v="5"/>
    <x v="0"/>
    <s v="Automático"/>
    <s v="Seg a Sex (09h00 AM)"/>
    <x v="7"/>
    <x v="5"/>
    <s v="wks-pbi-com-prd"/>
    <s v="https://app.powerbi.com/groups/0b73efc3-c3cc-45f1-9240-519e55b13de5/reports/2afb6ada-d06d-4b08-99f6-43f2aa233dcf/ReportSection5e48ade135d1eebedc68?experience=power-bi"/>
    <m/>
  </r>
  <r>
    <x v="18"/>
    <x v="2"/>
    <x v="0"/>
    <d v="2025-10-08T00:00:00"/>
    <s v="16:53"/>
    <x v="2"/>
    <x v="1"/>
    <s v="Manual"/>
    <s v="N/A"/>
    <x v="8"/>
    <x v="5"/>
    <s v="wks-pbi-com-prd"/>
    <s v="https://app.powerbi.com/groups/0b73efc3-c3cc-45f1-9240-519e55b13de5/reports/173231fb-49f8-4548-89e7-6a93f3d631be/ReportSection?experience=power-bi"/>
    <m/>
  </r>
  <r>
    <x v="19"/>
    <x v="1"/>
    <x v="0"/>
    <d v="2025-08-25T00:00:00"/>
    <s v="10:17"/>
    <x v="5"/>
    <x v="0"/>
    <s v="Manual"/>
    <s v="N/A"/>
    <x v="5"/>
    <x v="4"/>
    <s v="wks-pbi-com-prd"/>
    <s v="https://app.powerbi.com/groups/0b73efc3-c3cc-45f1-9240-519e55b13de5/reports/2175a380-1701-488d-b49f-7d64ce213be1/6780d7a390ce00eed033?experience=power-bi"/>
    <m/>
  </r>
  <r>
    <x v="20"/>
    <x v="1"/>
    <x v="0"/>
    <d v="2025-06-05T00:00:00"/>
    <s v="14:52"/>
    <x v="1"/>
    <x v="1"/>
    <s v="Manual"/>
    <s v="N/A"/>
    <x v="5"/>
    <x v="4"/>
    <s v="wks-pbi-com-prd"/>
    <s v="https://app.powerbi.com/groups/0b73efc3-c3cc-45f1-9240-519e55b13de5/reports/e8bdb7c9-13de-4a14-a22a-89571f078e8d/5ef9380866af99e6f646?experience=power-bi"/>
    <m/>
  </r>
  <r>
    <x v="21"/>
    <x v="1"/>
    <x v="0"/>
    <d v="2025-08-07T00:00:00"/>
    <s v="07:00"/>
    <x v="7"/>
    <x v="0"/>
    <s v="Manual"/>
    <s v="N/A"/>
    <x v="5"/>
    <x v="4"/>
    <s v="wks-pbi-com-prd"/>
    <s v="https://app.powerbi.com/groups/0b73efc3-c3cc-45f1-9240-519e55b13de5/reports/042117a0-d77e-4ebc-b746-e6347c237862/ReportSection3acf047a91221556068a?experience=power-bi"/>
    <m/>
  </r>
  <r>
    <x v="22"/>
    <x v="1"/>
    <x v="0"/>
    <d v="2025-09-08T00:00:00"/>
    <s v="08:03"/>
    <x v="3"/>
    <x v="0"/>
    <s v="Manual"/>
    <s v="N/A"/>
    <x v="5"/>
    <x v="4"/>
    <s v="wks-pbi-com-prd"/>
    <s v="https://app.powerbi.com/groups/0b73efc3-c3cc-45f1-9240-519e55b13de5/reports/443cb954-f369-4809-88bd-a164b0533d5d/ReportSection3acf047a91221556068a?experience=power-bi"/>
    <m/>
  </r>
  <r>
    <x v="23"/>
    <x v="2"/>
    <x v="2"/>
    <d v="2026-01-05T00:00:00"/>
    <s v="11:32"/>
    <x v="0"/>
    <x v="0"/>
    <s v="Manual"/>
    <s v="N/A"/>
    <x v="9"/>
    <x v="7"/>
    <s v="wks-pbi-com-prd"/>
    <s v="https://app.powerbi.com/groups/0b73efc3-c3cc-45f1-9240-519e55b13de5/reports/75c1d0a3-633a-4664-a63d-db4af4da3054/ReportSection3bedbf2a4d8846e049a4?experience=power-bi"/>
    <m/>
  </r>
  <r>
    <x v="24"/>
    <x v="2"/>
    <x v="0"/>
    <d v="2025-12-16T00:00:00"/>
    <s v="17:30"/>
    <x v="8"/>
    <x v="1"/>
    <s v="Manual"/>
    <s v="N/A"/>
    <x v="5"/>
    <x v="4"/>
    <s v="wks-pbi-com-prd"/>
    <s v="https://app.powerbi.com/groups/0b73efc3-c3cc-45f1-9240-519e55b13de5/reports/8ad3ce2b-ffef-4bfc-be73-332bc52cf050/7cc0a6e2748e7d68eb0f?experience=power-bi"/>
    <m/>
  </r>
  <r>
    <x v="25"/>
    <x v="2"/>
    <x v="0"/>
    <d v="2025-12-09T00:00:00"/>
    <s v="15:43"/>
    <x v="4"/>
    <x v="1"/>
    <s v="Manual"/>
    <s v="N/A"/>
    <x v="5"/>
    <x v="4"/>
    <s v="wks-pbi-com-prd"/>
    <s v="https://app.powerbi.com/groups/0b73efc3-c3cc-45f1-9240-519e55b13de5/reports/c9168679-b7c7-42fa-b5b5-5e2685f04089/56bbb6ba9a712ac970b2?experience=power-bi"/>
    <m/>
  </r>
  <r>
    <x v="26"/>
    <x v="0"/>
    <x v="0"/>
    <d v="2025-10-09T00:00:00"/>
    <s v="07:35"/>
    <x v="7"/>
    <x v="0"/>
    <s v="Manual"/>
    <s v="N/A"/>
    <x v="7"/>
    <x v="8"/>
    <s v="wks-pbi-com-prd"/>
    <s v="https://app.powerbi.com/groups/0b73efc3-c3cc-45f1-9240-519e55b13de5/reports/660a214f-c80f-4fca-9b0b-0e9206688116/ReportSection05fa94f7faf2f2033289?experience=power-bi"/>
    <m/>
  </r>
  <r>
    <x v="27"/>
    <x v="0"/>
    <x v="1"/>
    <d v="2024-10-03T00:00:00"/>
    <s v="08:43"/>
    <x v="3"/>
    <x v="0"/>
    <s v="Manual"/>
    <s v="N/A"/>
    <x v="5"/>
    <x v="4"/>
    <s v="wks-pbi-com-prd"/>
    <s v="https://app.powerbi.com/groups/0b73efc3-c3cc-45f1-9240-519e55b13de5/reports/a5dc3af9-6577-4906-9fb9-38cb60c3b878/ReportSection?experience=power-bi"/>
    <m/>
  </r>
  <r>
    <x v="28"/>
    <x v="2"/>
    <x v="2"/>
    <d v="2026-01-05T00:00:00"/>
    <s v="10:12"/>
    <x v="5"/>
    <x v="0"/>
    <s v="Automático"/>
    <s v="Seg a Sex (09h00 AM)"/>
    <x v="3"/>
    <x v="5"/>
    <s v="wks-pbi-com-prd"/>
    <s v="https://app.powerbi.com/groups/0b73efc3-c3cc-45f1-9240-519e55b13de5/reports/73579a6e-d9b5-4ced-ac6a-b30c33907187/ReportSection?experience=power-bi"/>
    <m/>
  </r>
  <r>
    <x v="29"/>
    <x v="0"/>
    <x v="0"/>
    <d v="2025-12-30T00:00:00"/>
    <s v="17:08"/>
    <x v="8"/>
    <x v="1"/>
    <s v="Automático"/>
    <s v="Seg a Sex (5 AM / 1 PM)"/>
    <x v="10"/>
    <x v="9"/>
    <s v="wks-pbi-corp-public-prd"/>
    <s v="https://app.powerbi.com/groups/43774005-3ad4-4a71-a12c-c70f24edf487/reports/6f5b4d09-1f91-4f25-83cf-a61b246e0f73/ReportSection85ac17efa0c8bfd8a61b?experience=power-bi"/>
    <m/>
  </r>
  <r>
    <x v="30"/>
    <x v="2"/>
    <x v="0"/>
    <d v="2025-12-10T00:00:00"/>
    <s v="10:19"/>
    <x v="5"/>
    <x v="0"/>
    <s v="Manual"/>
    <s v="N/A"/>
    <x v="8"/>
    <x v="10"/>
    <s v="wks-pbi-dir-prd"/>
    <s v="https://app.powerbi.com/groups/6d38c256-3ede-43cc-83c5-3510a3e6bc0c/reports/85c77c92-a419-401c-bbba-fc325dd54792/8dd33efa2054a907125c?experience=power-bi"/>
    <m/>
  </r>
  <r>
    <x v="31"/>
    <x v="1"/>
    <x v="1"/>
    <d v="2024-10-21T00:00:00"/>
    <s v="07:43"/>
    <x v="7"/>
    <x v="0"/>
    <s v="Manual"/>
    <s v="N/A"/>
    <x v="8"/>
    <x v="11"/>
    <s v="wks-pbi-fin-prd"/>
    <s v="https://app.powerbi.com/groups/fad50932-b25d-41c1-b165-1c1d0af6b5ad/reports/70611264-0a4b-441b-9b9d-af6c747d950d/ReportSection?experience=power-bi"/>
    <m/>
  </r>
  <r>
    <x v="32"/>
    <x v="2"/>
    <x v="2"/>
    <d v="2026-01-05T00:00:00"/>
    <s v="14:42"/>
    <x v="1"/>
    <x v="1"/>
    <s v="Automático"/>
    <s v="Seg a Sex (14h00 PM)"/>
    <x v="8"/>
    <x v="8"/>
    <s v="wks-pbi-fin-prd"/>
    <s v="https://app.powerbi.com/groups/fad50932-b25d-41c1-b165-1c1d0af6b5ad/reports/0043bf98-4562-4f5f-8147-7876e1eead23/ReportSectionaf5bb3f07064d5d02b85?experience=power-bi"/>
    <m/>
  </r>
  <r>
    <x v="33"/>
    <x v="2"/>
    <x v="2"/>
    <d v="2026-01-05T00:00:00"/>
    <s v="14:42"/>
    <x v="1"/>
    <x v="1"/>
    <s v="Dataset (Painel de Caixa)"/>
    <s v="Seg a Sex (14h00 PM)"/>
    <x v="8"/>
    <x v="8"/>
    <s v="wks-pbi-fin-prd"/>
    <s v="https://app.powerbi.com/groups/fad50932-b25d-41c1-b165-1c1d0af6b5ad/reports/0d699623-dbe8-4dc9-b358-708e693eefda/ReportSection6acb9ceebed1f3bfc770?experience=power-bi"/>
    <m/>
  </r>
  <r>
    <x v="34"/>
    <x v="2"/>
    <x v="2"/>
    <d v="2026-01-05T00:00:00"/>
    <s v="11:16"/>
    <x v="0"/>
    <x v="0"/>
    <s v="Manual"/>
    <s v="N/A"/>
    <x v="11"/>
    <x v="8"/>
    <s v="wks-pbi-fin-prd"/>
    <s v="https://app.powerbi.com/groups/fad50932-b25d-41c1-b165-1c1d0af6b5ad/reports/abcb24cc-551b-437f-8beb-c7c0609d8e4f/ReportSection687b59ba95a4704a3060?experience=power-bi"/>
    <m/>
  </r>
  <r>
    <x v="35"/>
    <x v="1"/>
    <x v="0"/>
    <d v="2025-05-14T00:00:00"/>
    <s v="16:31"/>
    <x v="2"/>
    <x v="1"/>
    <s v="Manual"/>
    <s v="N/A"/>
    <x v="12"/>
    <x v="8"/>
    <s v="wks-pbi-fin-prd"/>
    <s v="https://app.powerbi.com/groups/fad50932-b25d-41c1-b165-1c1d0af6b5ad/reports/f6ab3336-974c-4092-915d-6385c8aa7e9f/ReportSection?experience=power-bi"/>
    <m/>
  </r>
  <r>
    <x v="36"/>
    <x v="1"/>
    <x v="1"/>
    <d v="2024-12-10T00:00:00"/>
    <s v="14:35"/>
    <x v="1"/>
    <x v="1"/>
    <s v="Manual"/>
    <s v="N/A"/>
    <x v="11"/>
    <x v="8"/>
    <s v="wks-pbi-fin-prd"/>
    <s v="https://app.powerbi.com/groups/fad50932-b25d-41c1-b165-1c1d0af6b5ad/reports/286ec12f-9f1a-4d17-99ed-93fefd19ffa3/ReportSectionb2f5ee7af6690314adf8?experience=power-bi"/>
    <m/>
  </r>
  <r>
    <x v="37"/>
    <x v="2"/>
    <x v="0"/>
    <d v="2025-12-10T00:00:00"/>
    <s v="14:25"/>
    <x v="1"/>
    <x v="1"/>
    <s v="Manual"/>
    <s v="N/A"/>
    <x v="11"/>
    <x v="8"/>
    <s v="wks-pbi-fin-prd"/>
    <s v="https://app.powerbi.com/groups/fad50932-b25d-41c1-b165-1c1d0af6b5ad/reports/f82d75a0-5f3d-4fb5-aef6-c126e0343e73/085031f247a4519793b2?experience=power-bi"/>
    <m/>
  </r>
  <r>
    <x v="38"/>
    <x v="2"/>
    <x v="2"/>
    <d v="2026-01-05T00:00:00"/>
    <s v="16:35"/>
    <x v="2"/>
    <x v="1"/>
    <s v="Automático"/>
    <s v="Todos os dias (a cada 30min)"/>
    <x v="2"/>
    <x v="2"/>
    <s v="wks-pbi-jor-prd"/>
    <s v="https://app.powerbi.com/groups/571a4a31-79dc-4124-91a1-4130706f9cc2/reports/2e7f3edf-a20e-4e06-95b2-2c723eada0cd/18815937573722a722a0?experience=power-bi"/>
    <m/>
  </r>
  <r>
    <x v="39"/>
    <x v="2"/>
    <x v="0"/>
    <d v="2025-06-24T00:00:00"/>
    <s v="11:53"/>
    <x v="0"/>
    <x v="0"/>
    <s v="Manual"/>
    <s v="N/A"/>
    <x v="8"/>
    <x v="10"/>
    <s v="wks-pbi-jor-prd"/>
    <s v="https://app.powerbi.com/groups/571a4a31-79dc-4124-91a1-4130706f9cc2/reports/83ea662b-2b13-4b5c-8892-f5bf2fc467f4/52cfb4860c86c810203d?experience=power-bi"/>
    <m/>
  </r>
  <r>
    <x v="40"/>
    <x v="1"/>
    <x v="0"/>
    <d v="2025-09-04T00:00:00"/>
    <s v="11:02"/>
    <x v="0"/>
    <x v="0"/>
    <s v="Manual"/>
    <s v="N/A"/>
    <x v="8"/>
    <x v="10"/>
    <s v="wks-pbi-jor-prd"/>
    <s v="https://app.powerbi.com/groups/571a4a31-79dc-4124-91a1-4130706f9cc2/reports/c931bc47-def5-40bf-bbf7-a95af64a8d70/4b81ef72c980610b7d04?experience=power-bi"/>
    <m/>
  </r>
  <r>
    <x v="41"/>
    <x v="2"/>
    <x v="2"/>
    <d v="2026-01-05T00:00:00"/>
    <s v="16:10"/>
    <x v="2"/>
    <x v="1"/>
    <s v="Automático"/>
    <s v="Seg a Sex (6x)"/>
    <x v="8"/>
    <x v="12"/>
    <s v="wks-pbi-mkt-prd"/>
    <s v="https://app.powerbi.com/groups/35450d52-832b-4557-98f5-f2f88da17c40/reports/55619e5f-743c-4f9b-b28e-2cb54d1af00b/85ea98cc438ee0202140?experience=power-bi"/>
    <m/>
  </r>
  <r>
    <x v="42"/>
    <x v="0"/>
    <x v="0"/>
    <d v="2025-10-03T00:00:00"/>
    <s v="08:10"/>
    <x v="3"/>
    <x v="0"/>
    <s v="Automático"/>
    <s v="Seg a Sex (12x)"/>
    <x v="13"/>
    <x v="13"/>
    <s v="wks-pbi-pgm-prd"/>
    <s v="https://app.powerbi.com/groups/1abc4333-9f61-43db-8926-59ed05976d2a/reports/39bfe539-818e-4539-aef2-ffe90caa3280/ec43ef27269c990dc49b?experience=power-bi"/>
    <m/>
  </r>
  <r>
    <x v="43"/>
    <x v="2"/>
    <x v="2"/>
    <d v="2026-01-05T00:00:00"/>
    <s v="10:19"/>
    <x v="5"/>
    <x v="0"/>
    <s v="DataSet (Programação_v2)"/>
    <s v="N/A"/>
    <x v="14"/>
    <x v="14"/>
    <s v="wks-pbi-pgm-prd"/>
    <s v="https://app.powerbi.com/groups/1abc4333-9f61-43db-8926-59ed05976d2a/reports/32e46cf2-0530-48ca-aa6e-d981dd710314/ReportSectionae9df3a80b23d6686b7a?experience=power-bi"/>
    <m/>
  </r>
  <r>
    <x v="44"/>
    <x v="2"/>
    <x v="2"/>
    <d v="2026-01-05T00:00:00"/>
    <s v="10:19"/>
    <x v="5"/>
    <x v="0"/>
    <s v="DataSet (Programação_v2)"/>
    <s v="N/A"/>
    <x v="14"/>
    <x v="15"/>
    <s v="wks-pbi-pgm-prd"/>
    <s v="https://app.powerbi.com/groups/1abc4333-9f61-43db-8926-59ed05976d2a/reports/6a993279-54aa-4acc-9a66-0cbb9670487c/ReportSection5c3c41652098d26f5d6d?experience=power-bi"/>
    <m/>
  </r>
  <r>
    <x v="45"/>
    <x v="2"/>
    <x v="2"/>
    <d v="2026-01-05T00:00:00"/>
    <s v="10:19"/>
    <x v="5"/>
    <x v="0"/>
    <s v="DataSet (Programação_v2)"/>
    <s v="N/A"/>
    <x v="7"/>
    <x v="16"/>
    <s v="wks-pbi-pgm-prd"/>
    <s v="https://app.powerbi.com/groups/1abc4333-9f61-43db-8926-59ed05976d2a/reports/58e539c5-41f3-48d2-911b-b91404486c8c/ReportSectione422266aff923aca481a?experience=power-bi"/>
    <m/>
  </r>
  <r>
    <x v="46"/>
    <x v="2"/>
    <x v="2"/>
    <d v="2026-01-05T00:00:00"/>
    <s v="10:19"/>
    <x v="5"/>
    <x v="0"/>
    <s v="DataSet (Programação_v2)"/>
    <s v="N/A"/>
    <x v="7"/>
    <x v="16"/>
    <s v="wks-pbi-pgm-prd"/>
    <s v="https://app.powerbi.com/groups/1abc4333-9f61-43db-8926-59ed05976d2a/reports/eb3b6148-00b4-4ad0-8add-186c3aaedb89/ReportSectiondccb177ad62134478163?experience=power-bi"/>
    <m/>
  </r>
  <r>
    <x v="47"/>
    <x v="2"/>
    <x v="2"/>
    <d v="2026-01-05T00:00:00"/>
    <s v="10:19"/>
    <x v="5"/>
    <x v="0"/>
    <s v="DataSet (Programação_v2)"/>
    <s v="N/A"/>
    <x v="7"/>
    <x v="16"/>
    <s v="wks-pbi-pgm-prd"/>
    <s v="https://app.powerbi.com/groups/1abc4333-9f61-43db-8926-59ed05976d2a/reports/730f1ad5-69cc-430b-8d7d-226962a20d0c/ReportSection4516f98afd89055ba1f5?experience=power-bi"/>
    <m/>
  </r>
  <r>
    <x v="48"/>
    <x v="0"/>
    <x v="0"/>
    <d v="2025-10-03T00:00:00"/>
    <s v="08:38"/>
    <x v="3"/>
    <x v="0"/>
    <s v="Automático"/>
    <s v="Seg a Sex (3x)"/>
    <x v="13"/>
    <x v="13"/>
    <s v="wks-pbi-pgm-prd"/>
    <s v="https://app.powerbi.com/groups/1abc4333-9f61-43db-8926-59ed05976d2a/reports/559651aa-4709-489f-ae97-867ede4f7bbb/daeb4442b942000c4854?experience=power-bi"/>
    <m/>
  </r>
  <r>
    <x v="49"/>
    <x v="1"/>
    <x v="0"/>
    <d v="2025-09-16T00:00:00"/>
    <s v="19:31"/>
    <x v="6"/>
    <x v="2"/>
    <s v="Manual"/>
    <s v="N/A"/>
    <x v="13"/>
    <x v="13"/>
    <s v="wks-pbi-pgm-prd"/>
    <s v="https://app.powerbi.com/groups/1abc4333-9f61-43db-8926-59ed05976d2a/reports/fd9bc447-4f1b-4c7e-9182-aaf43bfce41b/afee19552b557534b775?experience=power-bi"/>
    <m/>
  </r>
  <r>
    <x v="50"/>
    <x v="0"/>
    <x v="0"/>
    <d v="2025-02-05T00:00:00"/>
    <s v="07:07"/>
    <x v="7"/>
    <x v="0"/>
    <s v="Automático"/>
    <s v="Seg a Sex (10h00 AM)"/>
    <x v="14"/>
    <x v="10"/>
    <s v="wks-pbi-ret-prd"/>
    <s v="https://app.powerbi.com/groups/c8250554-3e79-46cd-a860-7005e77301b1/reports/58f9a40f-c044-45a9-8c4a-5da479689b03/ReportSection?experience=power-bi"/>
    <m/>
  </r>
  <r>
    <x v="51"/>
    <x v="1"/>
    <x v="3"/>
    <d v="2023-11-17T00:00:00"/>
    <s v="09:22"/>
    <x v="9"/>
    <x v="0"/>
    <s v="Manual"/>
    <s v="N/A"/>
    <x v="8"/>
    <x v="16"/>
    <s v="wks-pbi-rhu-prd"/>
    <s v="https://app.powerbi.com/groups/4963782d-ca3c-4507-9fc1-6cfe1216c285/reports/9b292a91-e920-4525-b44d-25968d3f34a5/ReportSectionb81c2830416602600cb8?experience=power-bi"/>
    <m/>
  </r>
  <r>
    <x v="52"/>
    <x v="2"/>
    <x v="0"/>
    <d v="2025-12-02T00:00:00"/>
    <s v="17:23"/>
    <x v="8"/>
    <x v="1"/>
    <s v="Manual"/>
    <s v="N/A"/>
    <x v="15"/>
    <x v="17"/>
    <s v="wks-pbi-rhu-prd"/>
    <s v="https://app.powerbi.com/groups/4963782d-ca3c-4507-9fc1-6cfe1216c285/list?experience=power-bi"/>
    <m/>
  </r>
  <r>
    <x v="53"/>
    <x v="2"/>
    <x v="2"/>
    <d v="2026-01-05T00:00:00"/>
    <s v="09:19"/>
    <x v="9"/>
    <x v="0"/>
    <s v="Manual"/>
    <s v="N/A"/>
    <x v="8"/>
    <x v="17"/>
    <s v="wks-pbi-rhu-prd"/>
    <s v="https://app.powerbi.com/groups/4963782d-ca3c-4507-9fc1-6cfe1216c285/reports/d20476d2-f678-40c4-99d5-f27aaa535138/ReportSectione66ac756b1304c690004?experience=power-bi"/>
    <m/>
  </r>
  <r>
    <x v="54"/>
    <x v="2"/>
    <x v="2"/>
    <d v="2026-01-05T00:00:00"/>
    <s v="11:19"/>
    <x v="0"/>
    <x v="0"/>
    <s v="Manual"/>
    <s v="N/A"/>
    <x v="15"/>
    <x v="17"/>
    <s v="wks-pbi-rhu-prd"/>
    <s v="https://app.powerbi.com/groups/4963782d-ca3c-4507-9fc1-6cfe1216c285/reports/35586091-98d5-49c7-9cb9-b3becacca903/e5d37329ce878c734bbb?experience=power-bi"/>
    <m/>
  </r>
  <r>
    <x v="55"/>
    <x v="2"/>
    <x v="0"/>
    <d v="2025-12-22T00:00:00"/>
    <s v="16:06"/>
    <x v="2"/>
    <x v="1"/>
    <s v="Manual"/>
    <s v="N/A"/>
    <x v="16"/>
    <x v="18"/>
    <s v="wks-pbi-TI-prd"/>
    <s v="https://app.powerbi.com/groups/bd03572a-f34d-4ff6-9bb4-541d4ab5118c/reports/19aff478-11d2-4b6a-be42-360b0b60f8f2/ReportSectionda070571d4e0ce8838c1?experience=power-b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5:B80" firstHeaderRow="1" firstDataRow="1" firstDataCol="1"/>
  <pivotFields count="3"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delo Semanticos" fld="2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E8" firstHeaderRow="1" firstDataRow="2" firstDataCol="1"/>
  <pivotFields count="14">
    <pivotField dataField="1" showAll="0"/>
    <pivotField axis="axisCol" showAll="0">
      <items count="4">
        <item x="0"/>
        <item x="1"/>
        <item x="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Relatório" fld="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8:B22" firstHeaderRow="1" firstDataRow="1" firstDataCol="1"/>
  <pivotFields count="14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latório" fld="0" subtotal="count" baseField="0" baseItem="0"/>
  </dataFields>
  <chartFormats count="5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0:E52" firstHeaderRow="1" firstDataRow="2" firstDataCol="1" rowPageCount="1" colPageCount="1"/>
  <pivotFields count="14">
    <pivotField dataField="1" showAll="0"/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axis="axisRow" showAll="0">
      <items count="11">
        <item x="7"/>
        <item x="3"/>
        <item x="9"/>
        <item x="5"/>
        <item x="0"/>
        <item x="1"/>
        <item x="4"/>
        <item x="2"/>
        <item x="8"/>
        <item x="6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Count of Relatório" fld="0" subtotal="count" baseField="0" baseItem="0"/>
  </dataFields>
  <chartFormats count="8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2:B36" firstHeaderRow="1" firstDataRow="1" firstDataCol="1" rowPageCount="1" colPageCount="1"/>
  <pivotFields count="14">
    <pivotField dataField="1" showAll="0"/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Relatório" fld="0" subtotal="count" baseField="0" baseItem="0"/>
  </dataFields>
  <chartFormats count="5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6:B61" firstHeaderRow="1" firstDataRow="1" firstDataCol="1"/>
  <pivotFields count="3">
    <pivotField dataField="1" showAll="0"/>
    <pivotField axis="axisRow" showAll="0">
      <items count="5">
        <item x="1"/>
        <item x="3"/>
        <item x="0"/>
        <item x="2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S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5:C31" firstHeaderRow="1" firstDataRow="2" firstDataCol="1" rowPageCount="3" colPageCount="1"/>
  <pivotFields count="14">
    <pivotField axis="axisRow" dataField="1" showAll="0">
      <items count="57">
        <item x="11"/>
        <item x="12"/>
        <item x="13"/>
        <item x="7"/>
        <item x="8"/>
        <item x="9"/>
        <item x="14"/>
        <item x="29"/>
        <item x="42"/>
        <item x="38"/>
        <item x="15"/>
        <item x="51"/>
        <item x="16"/>
        <item x="43"/>
        <item x="44"/>
        <item x="45"/>
        <item x="17"/>
        <item x="18"/>
        <item x="0"/>
        <item x="31"/>
        <item x="46"/>
        <item x="47"/>
        <item x="1"/>
        <item x="2"/>
        <item x="19"/>
        <item x="20"/>
        <item x="41"/>
        <item x="21"/>
        <item x="22"/>
        <item x="23"/>
        <item x="24"/>
        <item x="52"/>
        <item x="3"/>
        <item x="4"/>
        <item x="32"/>
        <item x="33"/>
        <item x="34"/>
        <item x="48"/>
        <item x="49"/>
        <item x="5"/>
        <item x="6"/>
        <item x="25"/>
        <item x="39"/>
        <item x="40"/>
        <item x="53"/>
        <item x="10"/>
        <item x="50"/>
        <item x="26"/>
        <item x="54"/>
        <item x="35"/>
        <item x="36"/>
        <item x="37"/>
        <item x="30"/>
        <item x="55"/>
        <item x="27"/>
        <item x="28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Page" showAll="0">
      <items count="18">
        <item x="15"/>
        <item x="7"/>
        <item x="2"/>
        <item x="5"/>
        <item x="10"/>
        <item x="16"/>
        <item x="8"/>
        <item x="3"/>
        <item x="4"/>
        <item x="9"/>
        <item x="6"/>
        <item x="14"/>
        <item x="1"/>
        <item x="12"/>
        <item x="11"/>
        <item x="0"/>
        <item x="13"/>
        <item t="default"/>
      </items>
    </pivotField>
    <pivotField axis="axisPage" showAll="0">
      <items count="20">
        <item x="10"/>
        <item x="2"/>
        <item x="12"/>
        <item x="4"/>
        <item x="9"/>
        <item x="14"/>
        <item x="18"/>
        <item x="15"/>
        <item x="3"/>
        <item x="7"/>
        <item x="6"/>
        <item x="16"/>
        <item x="0"/>
        <item x="1"/>
        <item x="17"/>
        <item x="11"/>
        <item x="5"/>
        <item x="8"/>
        <item x="13"/>
        <item t="default"/>
      </items>
    </pivotField>
    <pivotField showAll="0"/>
    <pivotField showAll="0"/>
    <pivotField showAll="0"/>
  </pivotFields>
  <rowFields count="1">
    <field x="0"/>
  </rowFields>
  <rowItems count="5">
    <i>
      <x v="42"/>
    </i>
    <i>
      <x v="43"/>
    </i>
    <i>
      <x v="46"/>
    </i>
    <i>
      <x v="52"/>
    </i>
    <i t="grand">
      <x/>
    </i>
  </rowItems>
  <colFields count="1">
    <field x="2"/>
  </colFields>
  <colItems count="2">
    <i>
      <x v="2"/>
    </i>
    <i t="grand">
      <x/>
    </i>
  </colItems>
  <pageFields count="3">
    <pageField fld="1" hier="-1"/>
    <pageField fld="10" item="0" hier="-1"/>
    <pageField fld="9" hier="-1"/>
  </pageFields>
  <dataFields count="1">
    <dataField name="Count of Relatório" fld="0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.azure.com/data-and-crm/General/_workitems/edit/7131/" TargetMode="External"/><Relationship Id="rId21" Type="http://schemas.openxmlformats.org/officeDocument/2006/relationships/hyperlink" Target="https://dev.azure.com/data-and-crm/General/_workitems/edit/6767/" TargetMode="External"/><Relationship Id="rId34" Type="http://schemas.openxmlformats.org/officeDocument/2006/relationships/hyperlink" Target="https://dev.azure.com/data-and-crm/General/_workitems/edit/6725/" TargetMode="External"/><Relationship Id="rId42" Type="http://schemas.openxmlformats.org/officeDocument/2006/relationships/hyperlink" Target="https://dev.azure.com/data-and-crm/General/_workitems/edit/5712/" TargetMode="External"/><Relationship Id="rId47" Type="http://schemas.openxmlformats.org/officeDocument/2006/relationships/hyperlink" Target="https://dev.azure.com/data-and-crm/General/_workitems/edit/6717/" TargetMode="External"/><Relationship Id="rId50" Type="http://schemas.openxmlformats.org/officeDocument/2006/relationships/hyperlink" Target="https://dev.azure.com/data-and-crm/General/_workitems/edit/2667/" TargetMode="External"/><Relationship Id="rId55" Type="http://schemas.openxmlformats.org/officeDocument/2006/relationships/hyperlink" Target="https://dev.azure.com/data-and-crm/General/_workitems/edit/5683/" TargetMode="External"/><Relationship Id="rId63" Type="http://schemas.openxmlformats.org/officeDocument/2006/relationships/hyperlink" Target="https://dev.azure.com/data-and-crm/General/_workitems/edit/5654/" TargetMode="External"/><Relationship Id="rId68" Type="http://schemas.openxmlformats.org/officeDocument/2006/relationships/hyperlink" Target="https://dev.azure.com/data-and-crm/General/_workitems/edit/6420/" TargetMode="External"/><Relationship Id="rId76" Type="http://schemas.openxmlformats.org/officeDocument/2006/relationships/hyperlink" Target="https://dev.azure.com/data-and-crm/General/_workitems/edit/5589/" TargetMode="External"/><Relationship Id="rId84" Type="http://schemas.openxmlformats.org/officeDocument/2006/relationships/hyperlink" Target="https://dev.azure.com/data-and-crm/General/_workitems/edit/2699/" TargetMode="External"/><Relationship Id="rId89" Type="http://schemas.openxmlformats.org/officeDocument/2006/relationships/hyperlink" Target="https://dev.azure.com/data-and-crm/General/_workitems/edit/6426/" TargetMode="External"/><Relationship Id="rId97" Type="http://schemas.openxmlformats.org/officeDocument/2006/relationships/hyperlink" Target="https://dev.azure.com/data-and-crm/General/_workitems/edit/7174/" TargetMode="External"/><Relationship Id="rId7" Type="http://schemas.openxmlformats.org/officeDocument/2006/relationships/hyperlink" Target="https://dev.azure.com/data-and-crm/General/_workitems/edit/6904/" TargetMode="External"/><Relationship Id="rId71" Type="http://schemas.openxmlformats.org/officeDocument/2006/relationships/hyperlink" Target="https://dev.azure.com/data-and-crm/General/_workitems/edit/6313/" TargetMode="External"/><Relationship Id="rId92" Type="http://schemas.openxmlformats.org/officeDocument/2006/relationships/hyperlink" Target="https://dev.azure.com/data-and-crm/General/_workitems/edit/7128/" TargetMode="External"/><Relationship Id="rId2" Type="http://schemas.openxmlformats.org/officeDocument/2006/relationships/hyperlink" Target="https://dev.azure.com/data-and-crm/General/_workitems/edit/6900/" TargetMode="External"/><Relationship Id="rId16" Type="http://schemas.openxmlformats.org/officeDocument/2006/relationships/hyperlink" Target="https://dev.azure.com/data-and-crm/General/_workitems/edit/6869/" TargetMode="External"/><Relationship Id="rId29" Type="http://schemas.openxmlformats.org/officeDocument/2006/relationships/hyperlink" Target="https://dev.azure.com/data-and-crm/General/_workitems/edit/6782/" TargetMode="External"/><Relationship Id="rId11" Type="http://schemas.openxmlformats.org/officeDocument/2006/relationships/hyperlink" Target="https://dev.azure.com/data-and-crm/General/_workitems/edit/7165/" TargetMode="External"/><Relationship Id="rId24" Type="http://schemas.openxmlformats.org/officeDocument/2006/relationships/hyperlink" Target="https://dev.azure.com/data-and-crm/General/_workitems/edit/7158/" TargetMode="External"/><Relationship Id="rId32" Type="http://schemas.openxmlformats.org/officeDocument/2006/relationships/hyperlink" Target="https://dev.azure.com/data-and-crm/General/_workitems/edit/6891/" TargetMode="External"/><Relationship Id="rId37" Type="http://schemas.openxmlformats.org/officeDocument/2006/relationships/hyperlink" Target="https://dev.azure.com/data-and-crm/General/_workitems/edit/6421/" TargetMode="External"/><Relationship Id="rId40" Type="http://schemas.openxmlformats.org/officeDocument/2006/relationships/hyperlink" Target="https://dev.azure.com/data-and-crm/General/_workitems/edit/6727/" TargetMode="External"/><Relationship Id="rId45" Type="http://schemas.openxmlformats.org/officeDocument/2006/relationships/hyperlink" Target="https://dev.azure.com/data-and-crm/General/_workitems/edit/6738/" TargetMode="External"/><Relationship Id="rId53" Type="http://schemas.openxmlformats.org/officeDocument/2006/relationships/hyperlink" Target="https://dev.azure.com/data-and-crm/General/_workitems/edit/5275/" TargetMode="External"/><Relationship Id="rId58" Type="http://schemas.openxmlformats.org/officeDocument/2006/relationships/hyperlink" Target="https://dev.azure.com/data-and-crm/General/_workitems/edit/6319/" TargetMode="External"/><Relationship Id="rId66" Type="http://schemas.openxmlformats.org/officeDocument/2006/relationships/hyperlink" Target="https://dev.azure.com/data-and-crm/General/_workitems/edit/6311/" TargetMode="External"/><Relationship Id="rId74" Type="http://schemas.openxmlformats.org/officeDocument/2006/relationships/hyperlink" Target="https://dev.azure.com/data-and-crm/General/_workitems/edit/5668/" TargetMode="External"/><Relationship Id="rId79" Type="http://schemas.openxmlformats.org/officeDocument/2006/relationships/hyperlink" Target="https://dev.azure.com/data-and-crm/General/_workitems/edit/6221/" TargetMode="External"/><Relationship Id="rId87" Type="http://schemas.openxmlformats.org/officeDocument/2006/relationships/hyperlink" Target="https://dev.azure.com/data-and-crm/General/_workitems/edit/6424/" TargetMode="External"/><Relationship Id="rId5" Type="http://schemas.openxmlformats.org/officeDocument/2006/relationships/hyperlink" Target="https://dev.azure.com/data-and-crm/General/_workitems/edit/6865/" TargetMode="External"/><Relationship Id="rId61" Type="http://schemas.openxmlformats.org/officeDocument/2006/relationships/hyperlink" Target="https://dev.azure.com/data-and-crm/General/_workitems/edit/7162/" TargetMode="External"/><Relationship Id="rId82" Type="http://schemas.openxmlformats.org/officeDocument/2006/relationships/hyperlink" Target="https://dev.azure.com/data-and-crm/General/_workitems/edit/2664/" TargetMode="External"/><Relationship Id="rId90" Type="http://schemas.openxmlformats.org/officeDocument/2006/relationships/hyperlink" Target="https://dev.azure.com/data-and-crm/General/_workitems/edit/6878/" TargetMode="External"/><Relationship Id="rId95" Type="http://schemas.openxmlformats.org/officeDocument/2006/relationships/hyperlink" Target="https://dev.azure.com/data-and-crm/General/_workitems/edit/7127/" TargetMode="External"/><Relationship Id="rId19" Type="http://schemas.openxmlformats.org/officeDocument/2006/relationships/hyperlink" Target="https://dev.azure.com/data-and-crm/General/_workitems/edit/6871/" TargetMode="External"/><Relationship Id="rId14" Type="http://schemas.openxmlformats.org/officeDocument/2006/relationships/hyperlink" Target="https://dev.azure.com/data-and-crm/General/_workitems/edit/7172/" TargetMode="External"/><Relationship Id="rId22" Type="http://schemas.openxmlformats.org/officeDocument/2006/relationships/hyperlink" Target="https://dev.azure.com/data-and-crm/General/_workitems/edit/6944/" TargetMode="External"/><Relationship Id="rId27" Type="http://schemas.openxmlformats.org/officeDocument/2006/relationships/hyperlink" Target="https://dev.azure.com/data-and-crm/General/_workitems/edit/6997/" TargetMode="External"/><Relationship Id="rId30" Type="http://schemas.openxmlformats.org/officeDocument/2006/relationships/hyperlink" Target="https://dev.azure.com/data-and-crm/General/_workitems/edit/6880/" TargetMode="External"/><Relationship Id="rId35" Type="http://schemas.openxmlformats.org/officeDocument/2006/relationships/hyperlink" Target="https://dev.azure.com/data-and-crm/General/_workitems/edit/4309/" TargetMode="External"/><Relationship Id="rId43" Type="http://schemas.openxmlformats.org/officeDocument/2006/relationships/hyperlink" Target="https://dev.azure.com/data-and-crm/General/_workitems/edit/5716/" TargetMode="External"/><Relationship Id="rId48" Type="http://schemas.openxmlformats.org/officeDocument/2006/relationships/hyperlink" Target="https://dev.azure.com/data-and-crm/General/_workitems/edit/6902/" TargetMode="External"/><Relationship Id="rId56" Type="http://schemas.openxmlformats.org/officeDocument/2006/relationships/hyperlink" Target="https://dev.azure.com/data-and-crm/General/_workitems/edit/5685/" TargetMode="External"/><Relationship Id="rId64" Type="http://schemas.openxmlformats.org/officeDocument/2006/relationships/hyperlink" Target="https://dev.azure.com/data-and-crm/General/_workitems/edit/6772/" TargetMode="External"/><Relationship Id="rId69" Type="http://schemas.openxmlformats.org/officeDocument/2006/relationships/hyperlink" Target="https://dev.azure.com/data-and-crm/General/_workitems/edit/6316/" TargetMode="External"/><Relationship Id="rId77" Type="http://schemas.openxmlformats.org/officeDocument/2006/relationships/hyperlink" Target="https://dev.azure.com/data-and-crm/General/_workitems/edit/5518/" TargetMode="External"/><Relationship Id="rId8" Type="http://schemas.openxmlformats.org/officeDocument/2006/relationships/hyperlink" Target="https://dev.azure.com/data-and-crm/General/_workitems/edit/7163/" TargetMode="External"/><Relationship Id="rId51" Type="http://schemas.openxmlformats.org/officeDocument/2006/relationships/hyperlink" Target="https://dev.azure.com/data-and-crm/General/_workitems/edit/2672/" TargetMode="External"/><Relationship Id="rId72" Type="http://schemas.openxmlformats.org/officeDocument/2006/relationships/hyperlink" Target="https://dev.azure.com/data-and-crm/General/_workitems/edit/6312/" TargetMode="External"/><Relationship Id="rId80" Type="http://schemas.openxmlformats.org/officeDocument/2006/relationships/hyperlink" Target="https://dev.azure.com/data-and-crm/General/_workitems/edit/7150/" TargetMode="External"/><Relationship Id="rId85" Type="http://schemas.openxmlformats.org/officeDocument/2006/relationships/hyperlink" Target="https://dev.azure.com/data-and-crm/General/_workitems/edit/6425/" TargetMode="External"/><Relationship Id="rId93" Type="http://schemas.openxmlformats.org/officeDocument/2006/relationships/hyperlink" Target="https://dev.azure.com/data-and-crm/General/_workitems/edit/7129/" TargetMode="External"/><Relationship Id="rId3" Type="http://schemas.openxmlformats.org/officeDocument/2006/relationships/hyperlink" Target="https://dev.azure.com/data-and-crm/General/_workitems/edit/6737/" TargetMode="External"/><Relationship Id="rId12" Type="http://schemas.openxmlformats.org/officeDocument/2006/relationships/hyperlink" Target="https://dev.azure.com/data-and-crm/General/_workitems/edit/6947/" TargetMode="External"/><Relationship Id="rId17" Type="http://schemas.openxmlformats.org/officeDocument/2006/relationships/hyperlink" Target="https://dev.azure.com/data-and-crm/General/_workitems/edit/6868/" TargetMode="External"/><Relationship Id="rId25" Type="http://schemas.openxmlformats.org/officeDocument/2006/relationships/hyperlink" Target="https://dev.azure.com/data-and-crm/General/_workitems/edit/6764/" TargetMode="External"/><Relationship Id="rId33" Type="http://schemas.openxmlformats.org/officeDocument/2006/relationships/hyperlink" Target="https://dev.azure.com/data-and-crm/General/_workitems/edit/6886/" TargetMode="External"/><Relationship Id="rId38" Type="http://schemas.openxmlformats.org/officeDocument/2006/relationships/hyperlink" Target="https://dev.azure.com/data-and-crm/General/_workitems/edit/6726/" TargetMode="External"/><Relationship Id="rId46" Type="http://schemas.openxmlformats.org/officeDocument/2006/relationships/hyperlink" Target="https://dev.azure.com/data-and-crm/General/_workitems/edit/6722/" TargetMode="External"/><Relationship Id="rId59" Type="http://schemas.openxmlformats.org/officeDocument/2006/relationships/hyperlink" Target="https://dev.azure.com/data-and-crm/General/_workitems/edit/6318/" TargetMode="External"/><Relationship Id="rId67" Type="http://schemas.openxmlformats.org/officeDocument/2006/relationships/hyperlink" Target="https://dev.azure.com/data-and-crm/General/_workitems/edit/6419/" TargetMode="External"/><Relationship Id="rId20" Type="http://schemas.openxmlformats.org/officeDocument/2006/relationships/hyperlink" Target="https://dev.azure.com/data-and-crm/General/_workitems/edit/6872/" TargetMode="External"/><Relationship Id="rId41" Type="http://schemas.openxmlformats.org/officeDocument/2006/relationships/hyperlink" Target="https://dev.azure.com/data-and-crm/General/_workitems/edit/6315/" TargetMode="External"/><Relationship Id="rId54" Type="http://schemas.openxmlformats.org/officeDocument/2006/relationships/hyperlink" Target="https://dev.azure.com/data-and-crm/General/_workitems/edit/5274/" TargetMode="External"/><Relationship Id="rId62" Type="http://schemas.openxmlformats.org/officeDocument/2006/relationships/hyperlink" Target="https://dev.azure.com/data-and-crm/General/_workitems/edit/5190/" TargetMode="External"/><Relationship Id="rId70" Type="http://schemas.openxmlformats.org/officeDocument/2006/relationships/hyperlink" Target="https://dev.azure.com/data-and-crm/General/_workitems/edit/6314/" TargetMode="External"/><Relationship Id="rId75" Type="http://schemas.openxmlformats.org/officeDocument/2006/relationships/hyperlink" Target="https://dev.azure.com/data-and-crm/General/_workitems/edit/5663/" TargetMode="External"/><Relationship Id="rId83" Type="http://schemas.openxmlformats.org/officeDocument/2006/relationships/hyperlink" Target="https://dev.azure.com/data-and-crm/General/_workitems/edit/2665/" TargetMode="External"/><Relationship Id="rId88" Type="http://schemas.openxmlformats.org/officeDocument/2006/relationships/hyperlink" Target="https://dev.azure.com/data-and-crm/General/_workitems/edit/6423/" TargetMode="External"/><Relationship Id="rId91" Type="http://schemas.openxmlformats.org/officeDocument/2006/relationships/hyperlink" Target="https://dev.azure.com/data-and-crm/General/_workitems/edit/6763/" TargetMode="External"/><Relationship Id="rId96" Type="http://schemas.openxmlformats.org/officeDocument/2006/relationships/hyperlink" Target="https://dev.azure.com/data-and-crm/General/_workitems/edit/7173/" TargetMode="External"/><Relationship Id="rId1" Type="http://schemas.openxmlformats.org/officeDocument/2006/relationships/hyperlink" Target="https://dev.azure.com/data-and-crm/General/_workitems/edit/7130/" TargetMode="External"/><Relationship Id="rId6" Type="http://schemas.openxmlformats.org/officeDocument/2006/relationships/hyperlink" Target="https://dev.azure.com/data-and-crm/General/_workitems/edit/6736/" TargetMode="External"/><Relationship Id="rId15" Type="http://schemas.openxmlformats.org/officeDocument/2006/relationships/hyperlink" Target="https://dev.azure.com/data-and-crm/General/_workitems/edit/6874/" TargetMode="External"/><Relationship Id="rId23" Type="http://schemas.openxmlformats.org/officeDocument/2006/relationships/hyperlink" Target="https://dev.azure.com/data-and-crm/General/_workitems/edit/6824/" TargetMode="External"/><Relationship Id="rId28" Type="http://schemas.openxmlformats.org/officeDocument/2006/relationships/hyperlink" Target="https://dev.azure.com/data-and-crm/General/_workitems/edit/6768/" TargetMode="External"/><Relationship Id="rId36" Type="http://schemas.openxmlformats.org/officeDocument/2006/relationships/hyperlink" Target="https://dev.azure.com/data-and-crm/General/_workitems/edit/5013/" TargetMode="External"/><Relationship Id="rId49" Type="http://schemas.openxmlformats.org/officeDocument/2006/relationships/hyperlink" Target="https://dev.azure.com/data-and-crm/General/_workitems/edit/6899/" TargetMode="External"/><Relationship Id="rId57" Type="http://schemas.openxmlformats.org/officeDocument/2006/relationships/hyperlink" Target="https://dev.azure.com/data-and-crm/General/_workitems/edit/5688/" TargetMode="External"/><Relationship Id="rId10" Type="http://schemas.openxmlformats.org/officeDocument/2006/relationships/hyperlink" Target="https://dev.azure.com/data-and-crm/General/_workitems/edit/7164/" TargetMode="External"/><Relationship Id="rId31" Type="http://schemas.openxmlformats.org/officeDocument/2006/relationships/hyperlink" Target="https://dev.azure.com/data-and-crm/General/_workitems/edit/6889/" TargetMode="External"/><Relationship Id="rId44" Type="http://schemas.openxmlformats.org/officeDocument/2006/relationships/hyperlink" Target="https://dev.azure.com/data-and-crm/General/_workitems/edit/5723/" TargetMode="External"/><Relationship Id="rId52" Type="http://schemas.openxmlformats.org/officeDocument/2006/relationships/hyperlink" Target="https://dev.azure.com/data-and-crm/General/_workitems/edit/4750/" TargetMode="External"/><Relationship Id="rId60" Type="http://schemas.openxmlformats.org/officeDocument/2006/relationships/hyperlink" Target="https://dev.azure.com/data-and-crm/General/_workitems/edit/6317/" TargetMode="External"/><Relationship Id="rId65" Type="http://schemas.openxmlformats.org/officeDocument/2006/relationships/hyperlink" Target="https://dev.azure.com/data-and-crm/General/_workitems/edit/6867/" TargetMode="External"/><Relationship Id="rId73" Type="http://schemas.openxmlformats.org/officeDocument/2006/relationships/hyperlink" Target="https://dev.azure.com/data-and-crm/General/_workitems/edit/5666/" TargetMode="External"/><Relationship Id="rId78" Type="http://schemas.openxmlformats.org/officeDocument/2006/relationships/hyperlink" Target="https://dev.azure.com/data-and-crm/General/_workitems/edit/6766/" TargetMode="External"/><Relationship Id="rId81" Type="http://schemas.openxmlformats.org/officeDocument/2006/relationships/hyperlink" Target="https://dev.azure.com/data-and-crm/General/_workitems/edit/2700/" TargetMode="External"/><Relationship Id="rId86" Type="http://schemas.openxmlformats.org/officeDocument/2006/relationships/hyperlink" Target="https://dev.azure.com/data-and-crm/General/_workitems/edit/6422/" TargetMode="External"/><Relationship Id="rId94" Type="http://schemas.openxmlformats.org/officeDocument/2006/relationships/hyperlink" Target="https://dev.azure.com/data-and-crm/General/_workitems/edit/6877/" TargetMode="External"/><Relationship Id="rId4" Type="http://schemas.openxmlformats.org/officeDocument/2006/relationships/hyperlink" Target="https://dev.azure.com/data-and-crm/General/_workitems/edit/6866/" TargetMode="External"/><Relationship Id="rId9" Type="http://schemas.openxmlformats.org/officeDocument/2006/relationships/hyperlink" Target="https://dev.azure.com/data-and-crm/General/_workitems/edit/7179/" TargetMode="External"/><Relationship Id="rId13" Type="http://schemas.openxmlformats.org/officeDocument/2006/relationships/hyperlink" Target="https://dev.azure.com/data-and-crm/General/_workitems/edit/6773/" TargetMode="External"/><Relationship Id="rId18" Type="http://schemas.openxmlformats.org/officeDocument/2006/relationships/hyperlink" Target="https://dev.azure.com/data-and-crm/General/_workitems/edit/6876/" TargetMode="External"/><Relationship Id="rId39" Type="http://schemas.openxmlformats.org/officeDocument/2006/relationships/hyperlink" Target="https://dev.azure.com/data-and-crm/General/_workitems/edit/6728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hugo.santos@empresaspioneiras.onmicrosoft.com?subject=Question%20about%20Performance%20Campanhas%20in%20Power%20BI&amp;body=%0A%0A%0AHere%27s%20the%20report%20link%3A%0Ahttps%3A%2F%2Fapp.powerbi.com%2Fgroups%2Fe12eb10e-3ad3-4583-baa8-c1b72159e21c%2Freports%2F3034b08e-4cbf-410a-a48f-f88699c56aa7%3Fctid%3D7308dcb6-c413-47dd-86ec-de575e4fe294%0AThanks!" TargetMode="External"/><Relationship Id="rId117" Type="http://schemas.openxmlformats.org/officeDocument/2006/relationships/hyperlink" Target="https://app.powerbi.com/groups/1abc4333-9f61-43db-8926-59ed05976d2a?experience=power-bi" TargetMode="External"/><Relationship Id="rId21" Type="http://schemas.openxmlformats.org/officeDocument/2006/relationships/hyperlink" Target="https://app.powerbi.com/groups/e12eb10e-3ad3-4583-baa8-c1b72159e21c?experience=power-bi" TargetMode="External"/><Relationship Id="rId42" Type="http://schemas.openxmlformats.org/officeDocument/2006/relationships/hyperlink" Target="mailto:caio.novo@eptv.com.br?subject=Question%20about%20categorias_branco%20in%20Power%20BI&amp;body=%0A%0A%0AHere%27s%20the%20report%20link%3A%0Ahttps%3A%2F%2Fapp.powerbi.com%2Fgroups%2F0b73efc3-c3cc-45f1-9240-519e55b13de5%2Freports%2F5b2320e8-73a3-4ad3-b74e-af633d57ac44%3Fctid%3D7308dcb6-c413-47dd-86ec-de575e4fe294%0AThanks!" TargetMode="External"/><Relationship Id="rId47" Type="http://schemas.openxmlformats.org/officeDocument/2006/relationships/hyperlink" Target="https://app.powerbi.com/groups/0b73efc3-c3cc-45f1-9240-519e55b13de5?experience=power-bi" TargetMode="External"/><Relationship Id="rId63" Type="http://schemas.openxmlformats.org/officeDocument/2006/relationships/hyperlink" Target="mailto:caio.novo@eptv.com.br?subject=Question%20about%20monitoramento_mercado_publicitario_v2%20in%20Power%20BI&amp;body=%0A%0A%0AHere%27s%20the%20report%20link%3A%0Ahttps%3A%2F%2Fapp.powerbi.com%2Fgroups%2F0b73efc3-c3cc-45f1-9240-519e55b13de5%2Freports%2F8ad3ce2b-ffef-4bfc-be73-332bc52cf050%3Fctid%3D7308dcb6-c413-47dd-86ec-de575e4fe294%0AThanks!" TargetMode="External"/><Relationship Id="rId68" Type="http://schemas.openxmlformats.org/officeDocument/2006/relationships/hyperlink" Target="https://app.powerbi.com/groups/0b73efc3-c3cc-45f1-9240-519e55b13de5?experience=power-bi" TargetMode="External"/><Relationship Id="rId84" Type="http://schemas.openxmlformats.org/officeDocument/2006/relationships/hyperlink" Target="https://BI_GrupoEP@eptv.com.br/" TargetMode="External"/><Relationship Id="rId89" Type="http://schemas.openxmlformats.org/officeDocument/2006/relationships/hyperlink" Target="https://BI_GrupoEP@eptv.com.br/" TargetMode="External"/><Relationship Id="rId112" Type="http://schemas.openxmlformats.org/officeDocument/2006/relationships/hyperlink" Target="mailto:bruno.woth@eptv.com.br?subject=Question%20about%20CALENDARIOJORNALISMO%20in%20Power%20BI&amp;body=%0A%0A%0AHere%27s%20the%20report%20link%3A%0Ahttps%3A%2F%2Fapp.powerbi.com%2Fgroups%2F571a4a31-79dc-4124-91a1-4130706f9cc2%2Freports%2F2e7f3edf-a20e-4e06-95b2-2c723eada0cd%3Fctid%3D7308dcb6-c413-47dd-86ec-de575e4fe294%0AThanks!" TargetMode="External"/><Relationship Id="rId133" Type="http://schemas.openxmlformats.org/officeDocument/2006/relationships/hyperlink" Target="https://app.powerbi.com/groups/1abc4333-9f61-43db-8926-59ed05976d2a?experience=power-bi" TargetMode="External"/><Relationship Id="rId138" Type="http://schemas.openxmlformats.org/officeDocument/2006/relationships/hyperlink" Target="https://app.powerbi.com/groups/c8250554-3e79-46cd-a860-7005e77301b1?experience=power-bi" TargetMode="External"/><Relationship Id="rId16" Type="http://schemas.openxmlformats.org/officeDocument/2006/relationships/hyperlink" Target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 TargetMode="External"/><Relationship Id="rId107" Type="http://schemas.openxmlformats.org/officeDocument/2006/relationships/hyperlink" Target="https://kamyle.motta@eptv.com.br/" TargetMode="External"/><Relationship Id="rId11" Type="http://schemas.openxmlformats.org/officeDocument/2006/relationships/hyperlink" Target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 TargetMode="External"/><Relationship Id="rId32" Type="http://schemas.openxmlformats.org/officeDocument/2006/relationships/hyperlink" Target="https://app.powerbi.com/groups/0b73efc3-c3cc-45f1-9240-519e55b13de5?experience=power-bi" TargetMode="External"/><Relationship Id="rId37" Type="http://schemas.openxmlformats.org/officeDocument/2006/relationships/hyperlink" Target="https://app.powerbi.com/groups/0b73efc3-c3cc-45f1-9240-519e55b13de5?experience=power-bi" TargetMode="External"/><Relationship Id="rId53" Type="http://schemas.openxmlformats.org/officeDocument/2006/relationships/hyperlink" Target="https://app.powerbi.com/groups/0b73efc3-c3cc-45f1-9240-519e55b13de5?experience=power-bi" TargetMode="External"/><Relationship Id="rId58" Type="http://schemas.openxmlformats.org/officeDocument/2006/relationships/hyperlink" Target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 TargetMode="External"/><Relationship Id="rId74" Type="http://schemas.openxmlformats.org/officeDocument/2006/relationships/hyperlink" Target="https://app.powerbi.com/groups/0b73efc3-c3cc-45f1-9240-519e55b13de5?experience=power-bi" TargetMode="External"/><Relationship Id="rId79" Type="http://schemas.openxmlformats.org/officeDocument/2006/relationships/hyperlink" Target="https://app.powerbi.com/groups/0b73efc3-c3cc-45f1-9240-519e55b13de5?experience=power-bi" TargetMode="External"/><Relationship Id="rId102" Type="http://schemas.openxmlformats.org/officeDocument/2006/relationships/hyperlink" Target="https://tassia.pinto@eptv.com.br/" TargetMode="External"/><Relationship Id="rId123" Type="http://schemas.openxmlformats.org/officeDocument/2006/relationships/hyperlink" Target="https://app.powerbi.com/groups/1abc4333-9f61-43db-8926-59ed05976d2a?experience=power-bi" TargetMode="External"/><Relationship Id="rId128" Type="http://schemas.openxmlformats.org/officeDocument/2006/relationships/hyperlink" Target="https://app.powerbi.com/groups/1abc4333-9f61-43db-8926-59ed05976d2a?experience=power-bi" TargetMode="External"/><Relationship Id="rId144" Type="http://schemas.openxmlformats.org/officeDocument/2006/relationships/hyperlink" Target="https://BI_GrupoEP@eptv.com.br/" TargetMode="External"/><Relationship Id="rId149" Type="http://schemas.openxmlformats.org/officeDocument/2006/relationships/hyperlink" Target="mailto:felipe.barbosa@eptv.com.br?subject=Question%20about%20Unidade_Eventos%20in%20Power%20BI&amp;body=%0A%0A%0AHere%27s%20the%20report%20link%3A%0Ahttps%3A%2F%2Fapp.powerbi.com%2Fgroups%2Fbd03572a-f34d-4ff6-9bb4-541d4ab5118c%2Freports%2F19aff478-11d2-4b6a-be42-360b0b60f8f2%3Fctid%3D7308dcb6-c413-47dd-86ec-de575e4fe294%0AThanks!" TargetMode="External"/><Relationship Id="rId5" Type="http://schemas.openxmlformats.org/officeDocument/2006/relationships/hyperlink" Target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 TargetMode="External"/><Relationship Id="rId90" Type="http://schemas.openxmlformats.org/officeDocument/2006/relationships/hyperlink" Target="https://tassia.pinto@eptv.com.br/" TargetMode="External"/><Relationship Id="rId95" Type="http://schemas.openxmlformats.org/officeDocument/2006/relationships/hyperlink" Target="mailto:marilene.pires@eptv.com.br?subject=Question%20about%20Resultado_Eventos_v01%20in%20Power%20BI&amp;body=%0A%0A%0AHere%27s%20the%20report%20link%3A%0Ahttps%3A%2F%2Fapp.powerbi.com%2Fgroups%2Ffad50932-b25d-41c1-b165-1c1d0af6b5ad%2Freports%2Ff6ab3336-974c-4092-915d-6385c8aa7e9f%3Fctid%3D7308dcb6-c413-47dd-86ec-de575e4fe294%0AThanks!" TargetMode="External"/><Relationship Id="rId22" Type="http://schemas.openxmlformats.org/officeDocument/2006/relationships/hyperlink" Target="https://BI_GrupoEP@eptv.com.br/" TargetMode="External"/><Relationship Id="rId27" Type="http://schemas.openxmlformats.org/officeDocument/2006/relationships/hyperlink" Target="https://app.powerbi.com/groups/e12eb10e-3ad3-4583-baa8-c1b72159e21c?experience=power-bi" TargetMode="External"/><Relationship Id="rId43" Type="http://schemas.openxmlformats.org/officeDocument/2006/relationships/hyperlink" Target="https://app.powerbi.com/groups/0b73efc3-c3cc-45f1-9240-519e55b13de5?experience=power-bi" TargetMode="External"/><Relationship Id="rId48" Type="http://schemas.openxmlformats.org/officeDocument/2006/relationships/hyperlink" Target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 TargetMode="External"/><Relationship Id="rId64" Type="http://schemas.openxmlformats.org/officeDocument/2006/relationships/hyperlink" Target="mailto:caio.novo@eptv.com.br?subject=Question%20about%20monitoramento_mercado_publicitario_v2%20in%20Power%20BI&amp;body=%0A%0A%0AHere%27s%20the%20report%20link%3A%0Ahttps%3A%2F%2Fapp.powerbi.com%2Fgroups%2F0b73efc3-c3cc-45f1-9240-519e55b13de5%2Freports%2F8ad3ce2b-ffef-4bfc-be73-332bc52cf050%3Fctid%3D7308dcb6-c413-47dd-86ec-de575e4fe294%0AThanks!" TargetMode="External"/><Relationship Id="rId69" Type="http://schemas.openxmlformats.org/officeDocument/2006/relationships/hyperlink" Target="mailto:BI_GrupoEP@eptv.com.br?subject=Question%20about%20Previsao_PBI%20in%20Power%20BI&amp;body=%0A%0A%0AHere%27s%20the%20report%20link%3A%0Ahttps%3A%2F%2Fapp.powerbi.com%2Fgroups%2F0b73efc3-c3cc-45f1-9240-519e55b13de5%2Freports%2F660a214f-c80f-4fca-9b0b-0e9206688116%3Fctid%3D7308dcb6-c413-47dd-86ec-de575e4fe294%0AThanks!" TargetMode="External"/><Relationship Id="rId113" Type="http://schemas.openxmlformats.org/officeDocument/2006/relationships/hyperlink" Target="mailto:bruno.woth@eptv.com.br?subject=Question%20about%20CALENDARIOJORNALISMO%20in%20Power%20BI&amp;body=%0A%0A%0AHere%27s%20the%20report%20link%3A%0Ahttps%3A%2F%2Fapp.powerbi.com%2Fgroups%2F571a4a31-79dc-4124-91a1-4130706f9cc2%2Freports%2F2e7f3edf-a20e-4e06-95b2-2c723eada0cd%3Fctid%3D7308dcb6-c413-47dd-86ec-de575e4fe294%0AThanks!" TargetMode="External"/><Relationship Id="rId118" Type="http://schemas.openxmlformats.org/officeDocument/2006/relationships/hyperlink" Target="mailto:BI_GrupoEP@eptv.com.br?subject=Question%20about%20Desempenho%20Programa%C3%A7%C3%A3o%20in%20Power%20BI&amp;body=%0A%0A%0AHere%27s%20the%20report%20link%3A%0Ahttps%3A%2F%2Fapp.powerbi.com%2Fgroups%2F1abc4333-9f61-43db-8926-59ed05976d2a%2Freports%2F58e539c5-41f3-48d2-911b-b91404486c8c%3Fctid%3D7308dcb6-c413-47dd-86ec-de575e4fe294%0AThanks!" TargetMode="External"/><Relationship Id="rId134" Type="http://schemas.openxmlformats.org/officeDocument/2006/relationships/hyperlink" Target="https://BI_GrupoEP@eptv.com.br/" TargetMode="External"/><Relationship Id="rId139" Type="http://schemas.openxmlformats.org/officeDocument/2006/relationships/hyperlink" Target="mailto:alexandre.oliveira@eptv.com.br?subject=Question%20about%20Or%C3%A7amento_2026%20in%20Power%20BI&amp;body=%0A%0A%0AHere%27s%20the%20report%20link%3A%0Ahttps%3A%2F%2Fapp.powerbi.com%2Fgroups%2F4963782d-ca3c-4507-9fc1-6cfe1216c285%2Freports%2F0f9239af-e73d-4a3c-b331-1af74bcfa0bc%3Fctid%3D7308dcb6-c413-47dd-86ec-de575e4fe294%0AThanks!" TargetMode="External"/><Relationship Id="rId80" Type="http://schemas.openxmlformats.org/officeDocument/2006/relationships/hyperlink" Target="https://app.powerbi.com/groups/0b73efc3-c3cc-45f1-9240-519e55b13de5/reports/17b0e2a5-ccb9-40ca-9847-ce0bc916a346/95a1ad5d7cc1941e605c?experience=power-bi" TargetMode="External"/><Relationship Id="rId85" Type="http://schemas.openxmlformats.org/officeDocument/2006/relationships/hyperlink" Target="https://andre.otaviano@eptv.com.br/" TargetMode="External"/><Relationship Id="rId150" Type="http://schemas.openxmlformats.org/officeDocument/2006/relationships/hyperlink" Target="https://app.powerbi.com/groups/bd03572a-f34d-4ff6-9bb4-541d4ab5118c?experience=power-bi" TargetMode="External"/><Relationship Id="rId12" Type="http://schemas.openxmlformats.org/officeDocument/2006/relationships/hyperlink" Target="https://app.powerbi.com/groups/3ed8daac-5cc7-47f5-b4f3-adfe6deaacc7?experience=power-bi" TargetMode="External"/><Relationship Id="rId17" Type="http://schemas.openxmlformats.org/officeDocument/2006/relationships/hyperlink" Target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 TargetMode="External"/><Relationship Id="rId25" Type="http://schemas.openxmlformats.org/officeDocument/2006/relationships/hyperlink" Target="mailto:hugo.santos@empresaspioneiras.onmicrosoft.com?subject=Question%20about%20Performance%20Campanhas%20in%20Power%20BI&amp;body=%0A%0A%0AHere%27s%20the%20report%20link%3A%0Ahttps%3A%2F%2Fapp.powerbi.com%2Fgroups%2Fe12eb10e-3ad3-4583-baa8-c1b72159e21c%2Freports%2F3034b08e-4cbf-410a-a48f-f88699c56aa7%3Fctid%3D7308dcb6-c413-47dd-86ec-de575e4fe294%0AThanks!" TargetMode="External"/><Relationship Id="rId33" Type="http://schemas.openxmlformats.org/officeDocument/2006/relationships/hyperlink" Target="https://BI_GrupoEP@eptv.com.br/" TargetMode="External"/><Relationship Id="rId38" Type="http://schemas.openxmlformats.org/officeDocument/2006/relationships/hyperlink" Target="mailto:caio.novo@eptv.com.br?subject=Question%20about%20categorias_branco%20in%20Power%20BI&amp;body=%0A%0A%0AHere%27s%20the%20report%20link%3A%0Ahttps%3A%2F%2Fapp.powerbi.com%2Fgroups%2F0b73efc3-c3cc-45f1-9240-519e55b13de5%2Freports%2F5b2320e8-73a3-4ad3-b74e-af633d57ac44%3Fctid%3D7308dcb6-c413-47dd-86ec-de575e4fe294%0AThanks!" TargetMode="External"/><Relationship Id="rId46" Type="http://schemas.openxmlformats.org/officeDocument/2006/relationships/hyperlink" Target="https://BI_GrupoEP@eptv.com.br/" TargetMode="External"/><Relationship Id="rId59" Type="http://schemas.openxmlformats.org/officeDocument/2006/relationships/hyperlink" Target="https://app.powerbi.com/groups/0b73efc3-c3cc-45f1-9240-519e55b13de5?experience=power-bi" TargetMode="External"/><Relationship Id="rId67" Type="http://schemas.openxmlformats.org/officeDocument/2006/relationships/hyperlink" Target="mailto:caio.novo@eptv.com.br?subject=Question%20about%20painel_executivos%20in%20Power%20BI&amp;body=%0A%0A%0AHere%27s%20the%20report%20link%3A%0Ahttps%3A%2F%2Fapp.powerbi.com%2Fgroups%2F0b73efc3-c3cc-45f1-9240-519e55b13de5%2Freports%2Fc9168679-b7c7-42fa-b5b5-5e2685f04089%3Fctid%3D7308dcb6-c413-47dd-86ec-de575e4fe294%0AThanks!" TargetMode="External"/><Relationship Id="rId103" Type="http://schemas.openxmlformats.org/officeDocument/2006/relationships/hyperlink" Target="https://app.powerbi.com/groups/fad50932-b25d-41c1-b165-1c1d0af6b5ad?experience=power-bi" TargetMode="External"/><Relationship Id="rId108" Type="http://schemas.openxmlformats.org/officeDocument/2006/relationships/hyperlink" Target="https://app.powerbi.com/groups/571a4a31-79dc-4124-91a1-4130706f9cc2?experience=power-bi" TargetMode="External"/><Relationship Id="rId116" Type="http://schemas.openxmlformats.org/officeDocument/2006/relationships/hyperlink" Target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 TargetMode="External"/><Relationship Id="rId124" Type="http://schemas.openxmlformats.org/officeDocument/2006/relationships/hyperlink" Target="mailto:BI_GrupoEP@eptv.com.br?subject=Question%20about%20Desempenho%20Programa%C3%A7%C3%A3o%20in%20Power%20BI&amp;body=%0A%0A%0AHere%27s%20the%20report%20link%3A%0Ahttps%3A%2F%2Fapp.powerbi.com%2Fgroups%2F1abc4333-9f61-43db-8926-59ed05976d2a%2Freports%2F58e539c5-41f3-48d2-911b-b91404486c8c%3Fctid%3D7308dcb6-c413-47dd-86ec-de575e4fe294%0AThanks!" TargetMode="External"/><Relationship Id="rId129" Type="http://schemas.openxmlformats.org/officeDocument/2006/relationships/hyperlink" Target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 TargetMode="External"/><Relationship Id="rId137" Type="http://schemas.openxmlformats.org/officeDocument/2006/relationships/hyperlink" Target="https://BI_GrupoEP@eptv.com.br/" TargetMode="External"/><Relationship Id="rId20" Type="http://schemas.openxmlformats.org/officeDocument/2006/relationships/hyperlink" Target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 TargetMode="External"/><Relationship Id="rId41" Type="http://schemas.openxmlformats.org/officeDocument/2006/relationships/hyperlink" Target="mailto:caio.novo@eptv.com.br?subject=Question%20about%20categorias_branco%20in%20Power%20BI&amp;body=%0A%0A%0AHere%27s%20the%20report%20link%3A%0Ahttps%3A%2F%2Fapp.powerbi.com%2Fgroups%2F0b73efc3-c3cc-45f1-9240-519e55b13de5%2Freports%2F5b2320e8-73a3-4ad3-b74e-af633d57ac44%3Fctid%3D7308dcb6-c413-47dd-86ec-de575e4fe294%0AThanks!" TargetMode="External"/><Relationship Id="rId54" Type="http://schemas.openxmlformats.org/officeDocument/2006/relationships/hyperlink" Target="mailto:caio.novo@eptv.com.br?subject=Question%20about%20Monitoramento%20Em%20Desenvolvimento%20v3%20in%20Power%20BI&amp;body=%0A%0A%0AHere%27s%20the%20report%20link%3A%0Ahttps%3A%2F%2Fapp.powerbi.com%2Fgroups%2F0b73efc3-c3cc-45f1-9240-519e55b13de5%2Freports%2F042117a0-d77e-4ebc-b746-e6347c237862%3Fctid%3D7308dcb6-c413-47dd-86ec-de575e4fe294%0AThanks!" TargetMode="External"/><Relationship Id="rId62" Type="http://schemas.openxmlformats.org/officeDocument/2006/relationships/hyperlink" Target="https://app.powerbi.com/groups/0b73efc3-c3cc-45f1-9240-519e55b13de5?experience=power-bi" TargetMode="External"/><Relationship Id="rId70" Type="http://schemas.openxmlformats.org/officeDocument/2006/relationships/hyperlink" Target="https://tassia.pinto@eptv.com.br/" TargetMode="External"/><Relationship Id="rId75" Type="http://schemas.openxmlformats.org/officeDocument/2006/relationships/hyperlink" Target="https://BI_GrupoEP@eptv.com.br/" TargetMode="External"/><Relationship Id="rId83" Type="http://schemas.openxmlformats.org/officeDocument/2006/relationships/hyperlink" Target="https://app.powerbi.com/groups/43774005-3ad4-4a71-a12c-c70f24edf487?experience=power-bi" TargetMode="External"/><Relationship Id="rId88" Type="http://schemas.openxmlformats.org/officeDocument/2006/relationships/hyperlink" Target="https://app.powerbi.com/groups/6d38c256-3ede-43cc-83c5-3510a3e6bc0c?experience=power-bi" TargetMode="External"/><Relationship Id="rId91" Type="http://schemas.openxmlformats.org/officeDocument/2006/relationships/hyperlink" Target="https://app.powerbi.com/groups/fad50932-b25d-41c1-b165-1c1d0af6b5ad?experience=power-bi" TargetMode="External"/><Relationship Id="rId96" Type="http://schemas.openxmlformats.org/officeDocument/2006/relationships/hyperlink" Target="https://tassia.pinto@eptv.com.br/" TargetMode="External"/><Relationship Id="rId111" Type="http://schemas.openxmlformats.org/officeDocument/2006/relationships/hyperlink" Target="https://app.powerbi.com/groups/571a4a31-79dc-4124-91a1-4130706f9cc2?experience=power-bi" TargetMode="External"/><Relationship Id="rId132" Type="http://schemas.openxmlformats.org/officeDocument/2006/relationships/hyperlink" Target="mailto:BI_GrupoEP@eptv.com.br?subject=Question%20about%20Desempenho%20Programa%C3%A7%C3%A3o%20in%20Power%20BI&amp;body=%0A%0A%0AHere%27s%20the%20report%20link%3A%0Ahttps%3A%2F%2Fapp.powerbi.com%2Fgroups%2F1abc4333-9f61-43db-8926-59ed05976d2a%2Freports%2F58e539c5-41f3-48d2-911b-b91404486c8c%3Fctid%3D7308dcb6-c413-47dd-86ec-de575e4fe294%0AThanks!" TargetMode="External"/><Relationship Id="rId140" Type="http://schemas.openxmlformats.org/officeDocument/2006/relationships/hyperlink" Target="https://app.powerbi.com/groups/4963782d-ca3c-4507-9fc1-6cfe1216c285?experience=power-bi" TargetMode="External"/><Relationship Id="rId145" Type="http://schemas.openxmlformats.org/officeDocument/2006/relationships/hyperlink" Target="https://app.powerbi.com/groups/a969136c-75ac-402a-99bf-7eca93e2de6b/reports/af22a1d9-aae5-4872-a9ce-9a752702fed4/ReportSection812f27afaad55ecf9307?experience=power-bi" TargetMode="External"/><Relationship Id="rId1" Type="http://schemas.openxmlformats.org/officeDocument/2006/relationships/hyperlink" Target="https://app.powerbi.com/groups/838a4381-6a88-4235-a361-df7349246528?experience=power-bi" TargetMode="External"/><Relationship Id="rId6" Type="http://schemas.openxmlformats.org/officeDocument/2006/relationships/hyperlink" Target="https://app.powerbi.com/groups/3ed8daac-5cc7-47f5-b4f3-adfe6deaacc7?experience=power-bi" TargetMode="External"/><Relationship Id="rId15" Type="http://schemas.openxmlformats.org/officeDocument/2006/relationships/hyperlink" Target="https://app.powerbi.com/groups/3ed8daac-5cc7-47f5-b4f3-adfe6deaacc7?experience=power-bi" TargetMode="External"/><Relationship Id="rId23" Type="http://schemas.openxmlformats.org/officeDocument/2006/relationships/hyperlink" Target="mailto:hugo.santos@empresaspioneiras.onmicrosoft.com?subject=Question%20about%20Performance%20Campanhas%20in%20Power%20BI&amp;body=%0A%0A%0AHere%27s%20the%20report%20link%3A%0Ahttps%3A%2F%2Fapp.powerbi.com%2Fgroups%2Fe12eb10e-3ad3-4583-baa8-c1b72159e21c%2Freports%2F3034b08e-4cbf-410a-a48f-f88699c56aa7%3Fctid%3D7308dcb6-c413-47dd-86ec-de575e4fe294%0AThanks!" TargetMode="External"/><Relationship Id="rId28" Type="http://schemas.openxmlformats.org/officeDocument/2006/relationships/hyperlink" Target="mailto:caio.novo@eptv.com.br?subject=Question%20about%20Acompanhamento%20N%C3%BAmero%20Di%C3%A1rio%20-%20Exibidora%20in%20Power%20BI&amp;body=%0A%0A%0AHere%27s%20the%20report%20link%3A%0Ahttps%3A%2F%2Fapp.powerbi.com%2Fgroups%2F0b73efc3-c3cc-45f1-9240-519e55b13de5%2Freports%2F6cac744f-517b-4b2d-9b4a-6d134a29e855%3Fctid%3D7308dcb6-c413-47dd-86ec-de575e4fe294%0AThanks!" TargetMode="External"/><Relationship Id="rId36" Type="http://schemas.openxmlformats.org/officeDocument/2006/relationships/hyperlink" Target="mailto:caio.novo@eptv.com.br?subject=Question%20about%20atualizacao_tab_precos%20in%20Power%20BI&amp;body=%0A%0A%0AHere%27s%20the%20report%20link%3A%0Ahttps%3A%2F%2Fapp.powerbi.com%2Fgroups%2F0b73efc3-c3cc-45f1-9240-519e55b13de5%2Freports%2F4e1339f6-5518-4cee-98dc-7f5ff61b6793%3Fctid%3D7308dcb6-c413-47dd-86ec-de575e4fe294%0AThanks!" TargetMode="External"/><Relationship Id="rId49" Type="http://schemas.openxmlformats.org/officeDocument/2006/relationships/hyperlink" Target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 TargetMode="External"/><Relationship Id="rId57" Type="http://schemas.openxmlformats.org/officeDocument/2006/relationships/hyperlink" Target="mailto:caio.novo@eptv.com.br?subject=Question%20about%20Monitoramento%20Mercado%20Publicit%C3%A1rio%20in%20Power%20BI&amp;body=%0A%0A%0AHere%27s%20the%20report%20link%3A%0Ahttps%3A%2F%2Fapp.powerbi.com%2Fgroups%2F0b73efc3-c3cc-45f1-9240-519e55b13de5%2Freports%2F443cb954-f369-4809-88bd-a164b0533d5d%3Fctid%3D7308dcb6-c413-47dd-86ec-de575e4fe294%0AThanks!" TargetMode="External"/><Relationship Id="rId106" Type="http://schemas.openxmlformats.org/officeDocument/2006/relationships/hyperlink" Target="https://BI_GrupoEP@eptv.com.br/" TargetMode="External"/><Relationship Id="rId114" Type="http://schemas.openxmlformats.org/officeDocument/2006/relationships/hyperlink" Target="https://app.powerbi.com/groups/571a4a31-79dc-4124-91a1-4130706f9cc2?experience=power-bi" TargetMode="External"/><Relationship Id="rId119" Type="http://schemas.openxmlformats.org/officeDocument/2006/relationships/hyperlink" Target="https://app.powerbi.com/groups/13087102-ad42-4b34-8c98-67d29e2c4751/reports/1e2312ee-888e-487a-a76a-886a22826f3e?experience=power-bi" TargetMode="External"/><Relationship Id="rId127" Type="http://schemas.openxmlformats.org/officeDocument/2006/relationships/hyperlink" Target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 TargetMode="External"/><Relationship Id="rId10" Type="http://schemas.openxmlformats.org/officeDocument/2006/relationships/hyperlink" Target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 TargetMode="External"/><Relationship Id="rId31" Type="http://schemas.openxmlformats.org/officeDocument/2006/relationships/hyperlink" Target="https://BI_GrupoEP@eptv.com.br/" TargetMode="External"/><Relationship Id="rId44" Type="http://schemas.openxmlformats.org/officeDocument/2006/relationships/hyperlink" Target="mailto:BI_GrupoEP@eptv.com.br?subject=Question%20about%20desempenho_comercial%20in%20Power%20BI&amp;body=%0A%0A%0AHere%27s%20the%20report%20link%3A%0Ahttps%3A%2F%2Fapp.powerbi.com%2Fgroups%2F0b73efc3-c3cc-45f1-9240-519e55b13de5%2Freports%2F2afb6ada-d06d-4b08-99f6-43f2aa233dcf%3Fctid%3D7308dcb6-c413-47dd-86ec-de575e4fe294%0AThanks!" TargetMode="External"/><Relationship Id="rId52" Type="http://schemas.openxmlformats.org/officeDocument/2006/relationships/hyperlink" Target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 TargetMode="External"/><Relationship Id="rId60" Type="http://schemas.openxmlformats.org/officeDocument/2006/relationships/hyperlink" Target="mailto:kendi.nakano@eptv.com.br?subject=Question%20about%20monitoramento_crowley%20in%20Power%20BI&amp;body=%0A%0A%0AHere%27s%20the%20report%20link%3A%0Ahttps%3A%2F%2Fapp.powerbi.com%2Fgroups%2F0b73efc3-c3cc-45f1-9240-519e55b13de5%2Freports%2F75c1d0a3-633a-4664-a63d-db4af4da3054%3Fctid%3D7308dcb6-c413-47dd-86ec-de575e4fe294%0AThanks!" TargetMode="External"/><Relationship Id="rId65" Type="http://schemas.openxmlformats.org/officeDocument/2006/relationships/hyperlink" Target="https://app.powerbi.com/groups/0b73efc3-c3cc-45f1-9240-519e55b13de5?experience=power-bi" TargetMode="External"/><Relationship Id="rId73" Type="http://schemas.openxmlformats.org/officeDocument/2006/relationships/hyperlink" Target="mailto:caio.novo@eptv.com.br?subject=Question%20about%20Vendas%20Multimeios%20in%20Power%20BI&amp;body=%0A%0A%0AHere%27s%20the%20report%20link%3A%0Ahttps%3A%2F%2Fapp.powerbi.com%2Fgroups%2F0b73efc3-c3cc-45f1-9240-519e55b13de5%2Freports%2Fa5dc3af9-6577-4906-9fb9-38cb60c3b878%3Fctid%3D7308dcb6-c413-47dd-86ec-de575e4fe294%0AThanks!" TargetMode="External"/><Relationship Id="rId78" Type="http://schemas.openxmlformats.org/officeDocument/2006/relationships/hyperlink" Target="mailto:caio.novo@eptv.com.br?subject=Question%20about%20Vendas%20Multimeios%20in%20Power%20BI&amp;body=%0A%0A%0AHere%27s%20the%20report%20link%3A%0Ahttps%3A%2F%2Fapp.powerbi.com%2Fgroups%2F0b73efc3-c3cc-45f1-9240-519e55b13de5%2Freports%2Fa5dc3af9-6577-4906-9fb9-38cb60c3b878%3Fctid%3D7308dcb6-c413-47dd-86ec-de575e4fe294%0AThanks!" TargetMode="External"/><Relationship Id="rId81" Type="http://schemas.openxmlformats.org/officeDocument/2006/relationships/hyperlink" Target="mailto:felipe.correia@eptv.com.br?subject=Question%20about%20Calend%C3%A1rio%20Corporativo%20PBI%20in%20Power%20BI&amp;body=%0A%0A%0AHere%27s%20the%20report%20link%3A%0Ahttps%3A%2F%2Fapp.powerbi.com%2Fgroups%2F43774005-3ad4-4a71-a12c-c70f24edf487%2Freports%2F6f5b4d09-1f91-4f25-83cf-a61b246e0f73%3Fctid%3D7308dcb6-c413-47dd-86ec-de575e4fe294%0AThanks!" TargetMode="External"/><Relationship Id="rId86" Type="http://schemas.openxmlformats.org/officeDocument/2006/relationships/hyperlink" Target="https://app.powerbi.com/groups/fad50932-b25d-41c1-b165-1c1d0af6b5ad?experience=power-bi" TargetMode="External"/><Relationship Id="rId94" Type="http://schemas.openxmlformats.org/officeDocument/2006/relationships/hyperlink" Target="https://app.powerbi.com/groups/fad50932-b25d-41c1-b165-1c1d0af6b5ad/reports/0d699623-dbe8-4dc9-b358-708e693eefda/ReportSection6acb9ceebed1f3bfc770?experience=power-bi" TargetMode="External"/><Relationship Id="rId99" Type="http://schemas.openxmlformats.org/officeDocument/2006/relationships/hyperlink" Target="https://tassia.pinto@eptv.com.br/" TargetMode="External"/><Relationship Id="rId101" Type="http://schemas.openxmlformats.org/officeDocument/2006/relationships/hyperlink" Target="mailto:priscila.silva@eptv.com.br?subject=Question%20about%20Painel%20de%20Vendas%20in%20Power%20BI&amp;body=%0A%0A%0AHere%27s%20the%20report%20link%3A%0Ahttps%3A%2F%2Fapp.powerbi.com%2Fgroups%2Ffad50932-b25d-41c1-b165-1c1d0af6b5ad%2Freports%2Fabcb24cc-551b-437f-8beb-c7c0609d8e4f%3Fctid%3D7308dcb6-c413-47dd-86ec-de575e4fe294%0AThanks!" TargetMode="External"/><Relationship Id="rId122" Type="http://schemas.openxmlformats.org/officeDocument/2006/relationships/hyperlink" Target="https://app.powerbi.com/groups/1abc4333-9f61-43db-8926-59ed05976d2a?experience=power-bi" TargetMode="External"/><Relationship Id="rId130" Type="http://schemas.openxmlformats.org/officeDocument/2006/relationships/hyperlink" Target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 TargetMode="External"/><Relationship Id="rId135" Type="http://schemas.openxmlformats.org/officeDocument/2006/relationships/hyperlink" Target="https://app.powerbi.com/groups/4963782d-ca3c-4507-9fc1-6cfe1216c285?experience=power-bi" TargetMode="External"/><Relationship Id="rId143" Type="http://schemas.openxmlformats.org/officeDocument/2006/relationships/hyperlink" Target="https://BI_GrupoEP@eptv.com.br/" TargetMode="External"/><Relationship Id="rId148" Type="http://schemas.openxmlformats.org/officeDocument/2006/relationships/hyperlink" Target="mailto:felipe.barbosa@eptv.com.br?subject=Question%20about%20Unidade_Eventos%20in%20Power%20BI&amp;body=%0A%0A%0AHere%27s%20the%20report%20link%3A%0Ahttps%3A%2F%2Fapp.powerbi.com%2Fgroups%2Fbd03572a-f34d-4ff6-9bb4-541d4ab5118c%2Freports%2F19aff478-11d2-4b6a-be42-360b0b60f8f2%3Fctid%3D7308dcb6-c413-47dd-86ec-de575e4fe294%0AThanks!" TargetMode="External"/><Relationship Id="rId151" Type="http://schemas.openxmlformats.org/officeDocument/2006/relationships/vmlDrawing" Target="../drawings/vmlDrawing1.vml"/><Relationship Id="rId4" Type="http://schemas.openxmlformats.org/officeDocument/2006/relationships/hyperlink" Target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 TargetMode="External"/><Relationship Id="rId9" Type="http://schemas.openxmlformats.org/officeDocument/2006/relationships/hyperlink" Target="https://app.powerbi.com/groups/3ed8daac-5cc7-47f5-b4f3-adfe6deaacc7?experience=power-bi" TargetMode="External"/><Relationship Id="rId13" Type="http://schemas.openxmlformats.org/officeDocument/2006/relationships/hyperlink" Target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 TargetMode="External"/><Relationship Id="rId18" Type="http://schemas.openxmlformats.org/officeDocument/2006/relationships/hyperlink" Target="https://app.powerbi.com/groups/e12eb10e-3ad3-4583-baa8-c1b72159e21c?experience=power-bi" TargetMode="External"/><Relationship Id="rId39" Type="http://schemas.openxmlformats.org/officeDocument/2006/relationships/hyperlink" Target="mailto:caio.novo@eptv.com.br?subject=Question%20about%20categorias_branco%20in%20Power%20BI&amp;body=%0A%0A%0AHere%27s%20the%20report%20link%3A%0Ahttps%3A%2F%2Fapp.powerbi.com%2Fgroups%2F0b73efc3-c3cc-45f1-9240-519e55b13de5%2Freports%2F5b2320e8-73a3-4ad3-b74e-af633d57ac44%3Fctid%3D7308dcb6-c413-47dd-86ec-de575e4fe294%0AThanks!" TargetMode="External"/><Relationship Id="rId109" Type="http://schemas.openxmlformats.org/officeDocument/2006/relationships/hyperlink" Target="https://BI_GrupoEP@eptv.com.br/" TargetMode="External"/><Relationship Id="rId34" Type="http://schemas.openxmlformats.org/officeDocument/2006/relationships/hyperlink" Target="https://app.powerbi.com/groups/0b73efc3-c3cc-45f1-9240-519e55b13de5?experience=power-bi" TargetMode="External"/><Relationship Id="rId50" Type="http://schemas.openxmlformats.org/officeDocument/2006/relationships/hyperlink" Target="https://app.powerbi.com/groups/0b73efc3-c3cc-45f1-9240-519e55b13de5?experience=power-bi" TargetMode="External"/><Relationship Id="rId55" Type="http://schemas.openxmlformats.org/officeDocument/2006/relationships/hyperlink" Target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 TargetMode="External"/><Relationship Id="rId76" Type="http://schemas.openxmlformats.org/officeDocument/2006/relationships/hyperlink" Target="https://app.powerbi.com/groups/0b73efc3-c3cc-45f1-9240-519e55b13de5?experience=power-bi" TargetMode="External"/><Relationship Id="rId97" Type="http://schemas.openxmlformats.org/officeDocument/2006/relationships/hyperlink" Target="https://app.powerbi.com/groups/fad50932-b25d-41c1-b165-1c1d0af6b5ad?experience=power-bi" TargetMode="External"/><Relationship Id="rId104" Type="http://schemas.openxmlformats.org/officeDocument/2006/relationships/hyperlink" Target="mailto:priscila.silva@eptv.com.br?subject=Question%20about%20Sumario%20Executivo%20Verticais%20in%20Power%20BI&amp;body=%0A%0A%0AHere%27s%20the%20report%20link%3A%0Ahttps%3A%2F%2Fapp.powerbi.com%2Fgroups%2Ffad50932-b25d-41c1-b165-1c1d0af6b5ad%2Freports%2Ff82d75a0-5f3d-4fb5-aef6-c126e0343e73%3Fctid%3D7308dcb6-c413-47dd-86ec-de575e4fe294%0AThanks!" TargetMode="External"/><Relationship Id="rId120" Type="http://schemas.openxmlformats.org/officeDocument/2006/relationships/hyperlink" Target="https://BI_GrupoEP@eptv.com.br/" TargetMode="External"/><Relationship Id="rId125" Type="http://schemas.openxmlformats.org/officeDocument/2006/relationships/hyperlink" Target="https://app.powerbi.com/groups/1abc4333-9f61-43db-8926-59ed05976d2a?experience=power-bi" TargetMode="External"/><Relationship Id="rId141" Type="http://schemas.openxmlformats.org/officeDocument/2006/relationships/hyperlink" Target="https://BI_GrupoEP@eptv.com.br/" TargetMode="External"/><Relationship Id="rId146" Type="http://schemas.openxmlformats.org/officeDocument/2006/relationships/hyperlink" Target="mailto:alexandre.oliveira@eptv.com.br?subject=Question%20about%20Remunera%C3%A7%C3%A3o_BI%20in%20Power%20BI&amp;body=%0A%0A%0AHere%27s%20the%20report%20link%3A%0Ahttps%3A%2F%2Fapp.powerbi.com%2Fgroups%2F4963782d-ca3c-4507-9fc1-6cfe1216c285%2Freports%2F35586091-98d5-49c7-9cb9-b3becacca903%3Fctid%3D7308dcb6-c413-47dd-86ec-de575e4fe294%0AThanks!" TargetMode="External"/><Relationship Id="rId7" Type="http://schemas.openxmlformats.org/officeDocument/2006/relationships/hyperlink" Target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 TargetMode="External"/><Relationship Id="rId71" Type="http://schemas.openxmlformats.org/officeDocument/2006/relationships/hyperlink" Target="https://app.powerbi.com/groups/0b73efc3-c3cc-45f1-9240-519e55b13de5?experience=power-bi" TargetMode="External"/><Relationship Id="rId92" Type="http://schemas.openxmlformats.org/officeDocument/2006/relationships/hyperlink" Target="https://tassia.pinto@eptv.com.br/" TargetMode="External"/><Relationship Id="rId2" Type="http://schemas.openxmlformats.org/officeDocument/2006/relationships/hyperlink" Target="https://app.powerbi.com/groups/838a4381-6a88-4235-a361-df7349246528?experience=power-bi" TargetMode="External"/><Relationship Id="rId29" Type="http://schemas.openxmlformats.org/officeDocument/2006/relationships/hyperlink" Target="mailto:caio.novo@eptv.com.br?subject=Question%20about%20Acompanhamento%20N%C3%BAmero%20Di%C3%A1rio%20-%20Exibidora%20in%20Power%20BI&amp;body=%0A%0A%0AHere%27s%20the%20report%20link%3A%0Ahttps%3A%2F%2Fapp.powerbi.com%2Fgroups%2F0b73efc3-c3cc-45f1-9240-519e55b13de5%2Freports%2F6cac744f-517b-4b2d-9b4a-6d134a29e855%3Fctid%3D7308dcb6-c413-47dd-86ec-de575e4fe294%0AThanks!" TargetMode="External"/><Relationship Id="rId24" Type="http://schemas.openxmlformats.org/officeDocument/2006/relationships/hyperlink" Target="https://app.powerbi.com/groups/e12eb10e-3ad3-4583-baa8-c1b72159e21c?experience=power-bi" TargetMode="External"/><Relationship Id="rId40" Type="http://schemas.openxmlformats.org/officeDocument/2006/relationships/hyperlink" Target="https://app.powerbi.com/groups/0b73efc3-c3cc-45f1-9240-519e55b13de5?experience=power-bi" TargetMode="External"/><Relationship Id="rId45" Type="http://schemas.openxmlformats.org/officeDocument/2006/relationships/hyperlink" Target="https://app.powerbi.com/groups/0b73efc3-c3cc-45f1-9240-519e55b13de5?experience=power-bi" TargetMode="External"/><Relationship Id="rId66" Type="http://schemas.openxmlformats.org/officeDocument/2006/relationships/hyperlink" Target="mailto:caio.novo@eptv.com.br?subject=Question%20about%20painel_executivos%20in%20Power%20BI&amp;body=%0A%0A%0AHere%27s%20the%20report%20link%3A%0Ahttps%3A%2F%2Fapp.powerbi.com%2Fgroups%2F0b73efc3-c3cc-45f1-9240-519e55b13de5%2Freports%2Fc9168679-b7c7-42fa-b5b5-5e2685f04089%3Fctid%3D7308dcb6-c413-47dd-86ec-de575e4fe294%0AThanks!" TargetMode="External"/><Relationship Id="rId87" Type="http://schemas.openxmlformats.org/officeDocument/2006/relationships/hyperlink" Target="https://BI_GrupoEP@eptv.com.br/" TargetMode="External"/><Relationship Id="rId110" Type="http://schemas.openxmlformats.org/officeDocument/2006/relationships/hyperlink" Target="https://kamyle.motta@eptv.com.br/" TargetMode="External"/><Relationship Id="rId115" Type="http://schemas.openxmlformats.org/officeDocument/2006/relationships/hyperlink" Target="mailto:BI_GrupoEP@eptv.com.br?subject=Question%20about%20Desempenho%20Programa%C3%A7%C3%A3o%20in%20Power%20BI&amp;body=%0A%0A%0AHere%27s%20the%20report%20link%3A%0Ahttps%3A%2F%2Fapp.powerbi.com%2Fgroups%2F1abc4333-9f61-43db-8926-59ed05976d2a%2Freports%2F58e539c5-41f3-48d2-911b-b91404486c8c%3Fctid%3D7308dcb6-c413-47dd-86ec-de575e4fe294%0AThanks!" TargetMode="External"/><Relationship Id="rId131" Type="http://schemas.openxmlformats.org/officeDocument/2006/relationships/hyperlink" Target="https://app.powerbi.com/groups/1abc4333-9f61-43db-8926-59ed05976d2a?experience=power-bi" TargetMode="External"/><Relationship Id="rId136" Type="http://schemas.openxmlformats.org/officeDocument/2006/relationships/hyperlink" Target="https://app.powerbi.com/groups/1abc4333-9f61-43db-8926-59ed05976d2a?experience=power-bi" TargetMode="External"/><Relationship Id="rId61" Type="http://schemas.openxmlformats.org/officeDocument/2006/relationships/hyperlink" Target="mailto:kendi.nakano@eptv.com.br?subject=Question%20about%20monitoramento_crowley%20in%20Power%20BI&amp;body=%0A%0A%0AHere%27s%20the%20report%20link%3A%0Ahttps%3A%2F%2Fapp.powerbi.com%2Fgroups%2F0b73efc3-c3cc-45f1-9240-519e55b13de5%2Freports%2F75c1d0a3-633a-4664-a63d-db4af4da3054%3Fctid%3D7308dcb6-c413-47dd-86ec-de575e4fe294%0AThanks!" TargetMode="External"/><Relationship Id="rId82" Type="http://schemas.openxmlformats.org/officeDocument/2006/relationships/hyperlink" Target="mailto:felipe.correia@eptv.com.br?subject=Question%20about%20Calend%C3%A1rio%20Corporativo%20PBI%20in%20Power%20BI&amp;body=%0A%0A%0AHere%27s%20the%20report%20link%3A%0Ahttps%3A%2F%2Fapp.powerbi.com%2Fgroups%2F43774005-3ad4-4a71-a12c-c70f24edf487%2Freports%2F6f5b4d09-1f91-4f25-83cf-a61b246e0f73%3Fctid%3D7308dcb6-c413-47dd-86ec-de575e4fe294%0AThanks!" TargetMode="External"/><Relationship Id="rId152" Type="http://schemas.openxmlformats.org/officeDocument/2006/relationships/comments" Target="../comments1.xml"/><Relationship Id="rId19" Type="http://schemas.openxmlformats.org/officeDocument/2006/relationships/hyperlink" Target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 TargetMode="External"/><Relationship Id="rId14" Type="http://schemas.openxmlformats.org/officeDocument/2006/relationships/hyperlink" Target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 TargetMode="External"/><Relationship Id="rId30" Type="http://schemas.openxmlformats.org/officeDocument/2006/relationships/hyperlink" Target="https://app.powerbi.com/groups/0b73efc3-c3cc-45f1-9240-519e55b13de5?experience=power-bi" TargetMode="External"/><Relationship Id="rId35" Type="http://schemas.openxmlformats.org/officeDocument/2006/relationships/hyperlink" Target="mailto:caio.novo@eptv.com.br?subject=Question%20about%20atualizacao_tab_precos%20in%20Power%20BI&amp;body=%0A%0A%0AHere%27s%20the%20report%20link%3A%0Ahttps%3A%2F%2Fapp.powerbi.com%2Fgroups%2F0b73efc3-c3cc-45f1-9240-519e55b13de5%2Freports%2F4e1339f6-5518-4cee-98dc-7f5ff61b6793%3Fctid%3D7308dcb6-c413-47dd-86ec-de575e4fe294%0AThanks!" TargetMode="External"/><Relationship Id="rId56" Type="http://schemas.openxmlformats.org/officeDocument/2006/relationships/hyperlink" Target="https://app.powerbi.com/groups/0b73efc3-c3cc-45f1-9240-519e55b13de5?experience=power-bi" TargetMode="External"/><Relationship Id="rId77" Type="http://schemas.openxmlformats.org/officeDocument/2006/relationships/hyperlink" Target="https://BI_GrupoEP@eptv.com.br/" TargetMode="External"/><Relationship Id="rId100" Type="http://schemas.openxmlformats.org/officeDocument/2006/relationships/hyperlink" Target="https://app.powerbi.com/groups/fad50932-b25d-41c1-b165-1c1d0af6b5ad?experience=power-bi" TargetMode="External"/><Relationship Id="rId105" Type="http://schemas.openxmlformats.org/officeDocument/2006/relationships/hyperlink" Target="https://app.powerbi.com/groups/fad50932-b25d-41c1-b165-1c1d0af6b5ad?experience=power-bi" TargetMode="External"/><Relationship Id="rId126" Type="http://schemas.openxmlformats.org/officeDocument/2006/relationships/hyperlink" Target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 TargetMode="External"/><Relationship Id="rId147" Type="http://schemas.openxmlformats.org/officeDocument/2006/relationships/hyperlink" Target="https://app.powerbi.com/groups/4963782d-ca3c-4507-9fc1-6cfe1216c285?experience=power-bi" TargetMode="External"/><Relationship Id="rId8" Type="http://schemas.openxmlformats.org/officeDocument/2006/relationships/hyperlink" Target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 TargetMode="External"/><Relationship Id="rId51" Type="http://schemas.openxmlformats.org/officeDocument/2006/relationships/hyperlink" Target="mailto:caio.novo@eptv.com.br?subject=Question%20about%20mapa_cnaes%20in%20Power%20BI&amp;body=%0A%0A%0AHere%27s%20the%20report%20link%3A%0Ahttps%3A%2F%2Fapp.powerbi.com%2Fgroups%2F0b73efc3-c3cc-45f1-9240-519e55b13de5%2Freports%2Fe8bdb7c9-13de-4a14-a22a-89571f078e8d%3Fctid%3D7308dcb6-c413-47dd-86ec-de575e4fe294%0AThanks!" TargetMode="External"/><Relationship Id="rId72" Type="http://schemas.openxmlformats.org/officeDocument/2006/relationships/hyperlink" Target="mailto:caio.novo@eptv.com.br?subject=Question%20about%20Vendas%20Multimeios%20in%20Power%20BI&amp;body=%0A%0A%0AHere%27s%20the%20report%20link%3A%0Ahttps%3A%2F%2Fapp.powerbi.com%2Fgroups%2F0b73efc3-c3cc-45f1-9240-519e55b13de5%2Freports%2Fa5dc3af9-6577-4906-9fb9-38cb60c3b878%3Fctid%3D7308dcb6-c413-47dd-86ec-de575e4fe294%0AThanks!" TargetMode="External"/><Relationship Id="rId93" Type="http://schemas.openxmlformats.org/officeDocument/2006/relationships/hyperlink" Target="https://app.powerbi.com/groups/fad50932-b25d-41c1-b165-1c1d0af6b5ad?experience=power-bi" TargetMode="External"/><Relationship Id="rId98" Type="http://schemas.openxmlformats.org/officeDocument/2006/relationships/hyperlink" Target="mailto:priscila.silva@eptv.com.br?subject=Question%20about%20Resumo%20Investimentos%20in%20Power%20BI&amp;body=%0A%0A%0AHere%27s%20the%20report%20link%3A%0Ahttps%3A%2F%2Fapp.powerbi.com%2Fgroups%2Ffad50932-b25d-41c1-b165-1c1d0af6b5ad%2Freports%2F286ec12f-9f1a-4d17-99ed-93fefd19ffa3%3Fctid%3D7308dcb6-c413-47dd-86ec-de575e4fe294%0AThanks!" TargetMode="External"/><Relationship Id="rId121" Type="http://schemas.openxmlformats.org/officeDocument/2006/relationships/hyperlink" Target="https://app.powerbi.com/groups/35450d52-832b-4557-98f5-f2f88da17c40?experience=power-bi" TargetMode="External"/><Relationship Id="rId142" Type="http://schemas.openxmlformats.org/officeDocument/2006/relationships/hyperlink" Target="https://app.powerbi.com/groups/4963782d-ca3c-4507-9fc1-6cfe1216c285?experience=power-bi" TargetMode="External"/><Relationship Id="rId3" Type="http://schemas.openxmlformats.org/officeDocument/2006/relationships/hyperlink" Target="https://app.powerbi.com/groups/838a4381-6a88-4235-a361-df7349246528?experience=power-bi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app.powerbi.com/groups/0b73efc3-c3cc-45f1-9240-519e55b13de5?experience=power-bi" TargetMode="External"/><Relationship Id="rId1" Type="http://schemas.openxmlformats.org/officeDocument/2006/relationships/hyperlink" Target="mailto:lais.santos@eptv.com.br?subject=Question%20about%20AdManager_Germanica%20in%20Power%20BI&amp;body=%0A%0A%0AHere%27s%20the%20report%20link%3A%0Ahttps%3A%2F%2Fapp.powerbi.com%2Fgroups%2F0b73efc3-c3cc-45f1-9240-519e55b13de5%2Freports%2F8dc30ba7-93f5-4bea-a099-1bc1f6893c18%3Fctid%3D7308dcb6-c413-47dd-86ec-de575e4fe294%0AThanks!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groups/0b73efc3-c3cc-45f1-9240-519e55b13de5?experience=power-bi" TargetMode="External"/><Relationship Id="rId13" Type="http://schemas.openxmlformats.org/officeDocument/2006/relationships/hyperlink" Target="https://app.powerbi.com/groups/0b73efc3-c3cc-45f1-9240-519e55b13de5?experience=power-bi" TargetMode="External"/><Relationship Id="rId18" Type="http://schemas.openxmlformats.org/officeDocument/2006/relationships/hyperlink" Target="https://app.powerbi.com/groups/0b73efc3-c3cc-45f1-9240-519e55b13de5?experience=power-bi" TargetMode="External"/><Relationship Id="rId26" Type="http://schemas.openxmlformats.org/officeDocument/2006/relationships/hyperlink" Target="https://app.powerbi.com/groups/fad50932-b25d-41c1-b165-1c1d0af6b5ad?experience=power-bi" TargetMode="External"/><Relationship Id="rId39" Type="http://schemas.openxmlformats.org/officeDocument/2006/relationships/hyperlink" Target="https://app.powerbi.com/groups/4963782d-ca3c-4507-9fc1-6cfe1216c285?experience=power-bi" TargetMode="External"/><Relationship Id="rId3" Type="http://schemas.openxmlformats.org/officeDocument/2006/relationships/hyperlink" Target="https://app.powerbi.com/groups/838a4381-6a88-4235-a361-df7349246528/list?experience=power-bi" TargetMode="External"/><Relationship Id="rId21" Type="http://schemas.openxmlformats.org/officeDocument/2006/relationships/hyperlink" Target="https://app.powerbi.com/groups/6d38c256-3ede-43cc-83c5-3510a3e6bc0c?experience=power-bi" TargetMode="External"/><Relationship Id="rId34" Type="http://schemas.openxmlformats.org/officeDocument/2006/relationships/hyperlink" Target="https://app.powerbi.com/groups/1abc4333-9f61-43db-8926-59ed05976d2a?experience=power-bi" TargetMode="External"/><Relationship Id="rId42" Type="http://schemas.openxmlformats.org/officeDocument/2006/relationships/hyperlink" Target="https://app.powerbi.com/groups/bd03572a-f34d-4ff6-9bb4-541d4ab5118c?experience=power-bi" TargetMode="External"/><Relationship Id="rId7" Type="http://schemas.openxmlformats.org/officeDocument/2006/relationships/hyperlink" Target="https://app.powerbi.com/groups/0b73efc3-c3cc-45f1-9240-519e55b13de5?experience=power-bi" TargetMode="External"/><Relationship Id="rId12" Type="http://schemas.openxmlformats.org/officeDocument/2006/relationships/hyperlink" Target="https://app.powerbi.com/groups/0b73efc3-c3cc-45f1-9240-519e55b13de5?experience=power-bi" TargetMode="External"/><Relationship Id="rId17" Type="http://schemas.openxmlformats.org/officeDocument/2006/relationships/hyperlink" Target="https://app.powerbi.com/groups/0b73efc3-c3cc-45f1-9240-519e55b13de5?experience=power-bi" TargetMode="External"/><Relationship Id="rId25" Type="http://schemas.openxmlformats.org/officeDocument/2006/relationships/hyperlink" Target="https://app.powerbi.com/groups/fad50932-b25d-41c1-b165-1c1d0af6b5ad?experience=power-bi" TargetMode="External"/><Relationship Id="rId33" Type="http://schemas.openxmlformats.org/officeDocument/2006/relationships/hyperlink" Target="https://app.powerbi.com/groups/1abc4333-9f61-43db-8926-59ed05976d2a?experience=power-bi" TargetMode="External"/><Relationship Id="rId38" Type="http://schemas.openxmlformats.org/officeDocument/2006/relationships/hyperlink" Target="https://app.powerbi.com/groups/c8250554-3e79-46cd-a860-7005e77301b1?experience=power-bi" TargetMode="External"/><Relationship Id="rId2" Type="http://schemas.openxmlformats.org/officeDocument/2006/relationships/hyperlink" Target="https://app.powerbi.com/groups/838a4381-6a88-4235-a361-df7349246528/list?experience=power-bi" TargetMode="External"/><Relationship Id="rId16" Type="http://schemas.openxmlformats.org/officeDocument/2006/relationships/hyperlink" Target="https://app.powerbi.com/groups/0b73efc3-c3cc-45f1-9240-519e55b13de5?experience=power-bi" TargetMode="External"/><Relationship Id="rId20" Type="http://schemas.openxmlformats.org/officeDocument/2006/relationships/hyperlink" Target="https://app.powerbi.com/groups/43774005-3ad4-4a71-a12c-c70f24edf487?experience=power-bi" TargetMode="External"/><Relationship Id="rId29" Type="http://schemas.openxmlformats.org/officeDocument/2006/relationships/hyperlink" Target="https://app.powerbi.com/groups/571a4a31-79dc-4124-91a1-4130706f9cc2?experience=power-bi" TargetMode="External"/><Relationship Id="rId41" Type="http://schemas.openxmlformats.org/officeDocument/2006/relationships/hyperlink" Target="https://app.powerbi.com/groups/4963782d-ca3c-4507-9fc1-6cfe1216c285?experience=power-bi" TargetMode="External"/><Relationship Id="rId1" Type="http://schemas.openxmlformats.org/officeDocument/2006/relationships/hyperlink" Target="https://app.powerbi.com/groups/838a4381-6a88-4235-a361-df7349246528/list?experience=power-bi" TargetMode="External"/><Relationship Id="rId6" Type="http://schemas.openxmlformats.org/officeDocument/2006/relationships/hyperlink" Target="https://app.powerbi.com/groups/3ed8daac-5cc7-47f5-b4f3-adfe6deaacc7?experience=power-bi" TargetMode="External"/><Relationship Id="rId11" Type="http://schemas.openxmlformats.org/officeDocument/2006/relationships/hyperlink" Target="https://app.powerbi.com/groups/0b73efc3-c3cc-45f1-9240-519e55b13de5?experience=power-bi" TargetMode="External"/><Relationship Id="rId24" Type="http://schemas.openxmlformats.org/officeDocument/2006/relationships/hyperlink" Target="https://app.powerbi.com/groups/fad50932-b25d-41c1-b165-1c1d0af6b5ad?experience=power-bi" TargetMode="External"/><Relationship Id="rId32" Type="http://schemas.openxmlformats.org/officeDocument/2006/relationships/hyperlink" Target="https://app.powerbi.com/groups/1abc4333-9f61-43db-8926-59ed05976d2a?experience=power-bi" TargetMode="External"/><Relationship Id="rId37" Type="http://schemas.openxmlformats.org/officeDocument/2006/relationships/hyperlink" Target="https://app.powerbi.com/groups/1abc4333-9f61-43db-8926-59ed05976d2a?experience=power-bi" TargetMode="External"/><Relationship Id="rId40" Type="http://schemas.openxmlformats.org/officeDocument/2006/relationships/hyperlink" Target="https://app.powerbi.com/groups/4963782d-ca3c-4507-9fc1-6cfe1216c285?experience=power-bi" TargetMode="External"/><Relationship Id="rId5" Type="http://schemas.openxmlformats.org/officeDocument/2006/relationships/hyperlink" Target="https://app.powerbi.com/groups/3ed8daac-5cc7-47f5-b4f3-adfe6deaacc7?experience=power-bi" TargetMode="External"/><Relationship Id="rId15" Type="http://schemas.openxmlformats.org/officeDocument/2006/relationships/hyperlink" Target="https://app.powerbi.com/groups/0b73efc3-c3cc-45f1-9240-519e55b13de5?experience=power-bi" TargetMode="External"/><Relationship Id="rId23" Type="http://schemas.openxmlformats.org/officeDocument/2006/relationships/hyperlink" Target="https://app.powerbi.com/groups/fad50932-b25d-41c1-b165-1c1d0af6b5ad?experience=power-bi" TargetMode="External"/><Relationship Id="rId28" Type="http://schemas.openxmlformats.org/officeDocument/2006/relationships/hyperlink" Target="https://app.powerbi.com/groups/571a4a31-79dc-4124-91a1-4130706f9cc2?experience=power-bi" TargetMode="External"/><Relationship Id="rId36" Type="http://schemas.openxmlformats.org/officeDocument/2006/relationships/hyperlink" Target="https://app.powerbi.com/groups/1abc4333-9f61-43db-8926-59ed05976d2a?experience=power-bi" TargetMode="External"/><Relationship Id="rId10" Type="http://schemas.openxmlformats.org/officeDocument/2006/relationships/hyperlink" Target="https://app.powerbi.com/groups/0b73efc3-c3cc-45f1-9240-519e55b13de5?experience=power-bi" TargetMode="External"/><Relationship Id="rId19" Type="http://schemas.openxmlformats.org/officeDocument/2006/relationships/hyperlink" Target="https://app.powerbi.com/groups/0b73efc3-c3cc-45f1-9240-519e55b13de5?experience=power-bi" TargetMode="External"/><Relationship Id="rId31" Type="http://schemas.openxmlformats.org/officeDocument/2006/relationships/hyperlink" Target="https://app.powerbi.com/groups/35450d52-832b-4557-98f5-f2f88da17c40?experience=power-bi" TargetMode="External"/><Relationship Id="rId44" Type="http://schemas.openxmlformats.org/officeDocument/2006/relationships/comments" Target="../comments2.xml"/><Relationship Id="rId4" Type="http://schemas.openxmlformats.org/officeDocument/2006/relationships/hyperlink" Target="https://app.powerbi.com/groups/3ed8daac-5cc7-47f5-b4f3-adfe6deaacc7?experience=power-bi" TargetMode="External"/><Relationship Id="rId9" Type="http://schemas.openxmlformats.org/officeDocument/2006/relationships/hyperlink" Target="https://app.powerbi.com/groups/0b73efc3-c3cc-45f1-9240-519e55b13de5?experience=power-bi" TargetMode="External"/><Relationship Id="rId14" Type="http://schemas.openxmlformats.org/officeDocument/2006/relationships/hyperlink" Target="https://app.powerbi.com/groups/0b73efc3-c3cc-45f1-9240-519e55b13de5?experience=power-bi" TargetMode="External"/><Relationship Id="rId22" Type="http://schemas.openxmlformats.org/officeDocument/2006/relationships/hyperlink" Target="https://app.powerbi.com/groups/fad50932-b25d-41c1-b165-1c1d0af6b5ad?experience=power-bi" TargetMode="External"/><Relationship Id="rId27" Type="http://schemas.openxmlformats.org/officeDocument/2006/relationships/hyperlink" Target="https://app.powerbi.com/groups/fad50932-b25d-41c1-b165-1c1d0af6b5ad?experience=power-bi" TargetMode="External"/><Relationship Id="rId30" Type="http://schemas.openxmlformats.org/officeDocument/2006/relationships/hyperlink" Target="https://app.powerbi.com/groups/13087102-ad42-4b34-8c98-67d29e2c4751/list?experience=power-bi" TargetMode="External"/><Relationship Id="rId35" Type="http://schemas.openxmlformats.org/officeDocument/2006/relationships/hyperlink" Target="https://app.powerbi.com/groups/1abc4333-9f61-43db-8926-59ed05976d2a?experience=power-bi" TargetMode="External"/><Relationship Id="rId43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groups/cd4ac282-b668-496a-8f29-d29d6f1a29d5/list?experience=power-bi" TargetMode="External"/><Relationship Id="rId13" Type="http://schemas.openxmlformats.org/officeDocument/2006/relationships/hyperlink" Target="https://app.powerbi.com/groups/43774005-3ad4-4a71-a12c-c70f24edf487?experience=power-bi" TargetMode="External"/><Relationship Id="rId18" Type="http://schemas.openxmlformats.org/officeDocument/2006/relationships/hyperlink" Target="https://app.powerbi.com/groups/35450d52-832b-4557-98f5-f2f88da17c40?experience=power-bi" TargetMode="External"/><Relationship Id="rId3" Type="http://schemas.openxmlformats.org/officeDocument/2006/relationships/hyperlink" Target="https://app.powerbi.com/groups/3bcbf0af-cd5a-4889-b2a1-db746f3f6f21/list?experience=power-bi" TargetMode="External"/><Relationship Id="rId21" Type="http://schemas.openxmlformats.org/officeDocument/2006/relationships/hyperlink" Target="https://app.powerbi.com/groups/1abc4333-9f61-43db-8926-59ed05976d2a?experience=power-bi" TargetMode="External"/><Relationship Id="rId7" Type="http://schemas.openxmlformats.org/officeDocument/2006/relationships/hyperlink" Target="https://app.powerbi.com/groups/e12eb10e-3ad3-4583-baa8-c1b72159e21c?experience=power-bi" TargetMode="External"/><Relationship Id="rId12" Type="http://schemas.openxmlformats.org/officeDocument/2006/relationships/hyperlink" Target="https://app.powerbi.com/groups/b6558a44-7133-4802-a35f-3bc3ca8ad98f/list?experience=power-bi" TargetMode="External"/><Relationship Id="rId17" Type="http://schemas.openxmlformats.org/officeDocument/2006/relationships/hyperlink" Target="https://app.powerbi.com/groups/571a4a31-79dc-4124-91a1-4130706f9cc2?experience=power-bi" TargetMode="External"/><Relationship Id="rId25" Type="http://schemas.openxmlformats.org/officeDocument/2006/relationships/hyperlink" Target="https://app.powerbi.com/groups/bd03572a-f34d-4ff6-9bb4-541d4ab5118c?experience=power-bi" TargetMode="External"/><Relationship Id="rId2" Type="http://schemas.openxmlformats.org/officeDocument/2006/relationships/hyperlink" Target="https://app.powerbi.com/groups/bfcb05be-e20f-4be6-acfa-311db4d8ef6b/list?experience=power-bi" TargetMode="External"/><Relationship Id="rId16" Type="http://schemas.openxmlformats.org/officeDocument/2006/relationships/hyperlink" Target="https://app.powerbi.com/groups/fad50932-b25d-41c1-b165-1c1d0af6b5ad?experience=power-bi" TargetMode="External"/><Relationship Id="rId20" Type="http://schemas.openxmlformats.org/officeDocument/2006/relationships/hyperlink" Target="https://app.powerbi.com/groups/4738ca3a-37ed-46ed-8151-442274c28fe3/list?experience=power-bi" TargetMode="External"/><Relationship Id="rId1" Type="http://schemas.openxmlformats.org/officeDocument/2006/relationships/hyperlink" Target="https://app.powerbi.com/groups/e3c5abf9-c95c-47f4-a718-fe0a28011eb1/list?experience=power-bi" TargetMode="External"/><Relationship Id="rId6" Type="http://schemas.openxmlformats.org/officeDocument/2006/relationships/hyperlink" Target="https://app.powerbi.com/groups/3ed8daac-5cc7-47f5-b4f3-adfe6deaacc7?experience=power-bi" TargetMode="External"/><Relationship Id="rId11" Type="http://schemas.openxmlformats.org/officeDocument/2006/relationships/hyperlink" Target="https://app.powerbi.com/groups/0b73efc3-c3cc-45f1-9240-519e55b13de5?experience=power-bi" TargetMode="External"/><Relationship Id="rId24" Type="http://schemas.openxmlformats.org/officeDocument/2006/relationships/hyperlink" Target="https://app.powerbi.com/groups/4963782d-ca3c-4507-9fc1-6cfe1216c285?experience=power-bi" TargetMode="External"/><Relationship Id="rId5" Type="http://schemas.openxmlformats.org/officeDocument/2006/relationships/hyperlink" Target="https://app.powerbi.com/groups/a969136c-75ac-402a-99bf-7eca93e2de6b/list?experience=power-bi" TargetMode="External"/><Relationship Id="rId15" Type="http://schemas.openxmlformats.org/officeDocument/2006/relationships/hyperlink" Target="https://app.powerbi.com/groups/af38986a-5ebb-4ca9-98a2-3aa48e6fdc29/list?experience=power-bi" TargetMode="External"/><Relationship Id="rId23" Type="http://schemas.openxmlformats.org/officeDocument/2006/relationships/hyperlink" Target="https://app.powerbi.com/groups/9197b4b5-a35e-4e0f-bce4-1e1886256891/list?experience=power-bi" TargetMode="External"/><Relationship Id="rId10" Type="http://schemas.openxmlformats.org/officeDocument/2006/relationships/hyperlink" Target="https://app.powerbi.com/groups/40701cf2-b25f-495e-9fb5-607e244ab7b4/list?experience=power-bi" TargetMode="External"/><Relationship Id="rId19" Type="http://schemas.openxmlformats.org/officeDocument/2006/relationships/hyperlink" Target="https://app.powerbi.com/groups/18574db0-398c-4c2f-8d79-90812ca750eb/list?experience=power-bi" TargetMode="External"/><Relationship Id="rId4" Type="http://schemas.openxmlformats.org/officeDocument/2006/relationships/hyperlink" Target="https://app.powerbi.com/groups/838a4381-6a88-4235-a361-df7349246528?experience=power-bi" TargetMode="External"/><Relationship Id="rId9" Type="http://schemas.openxmlformats.org/officeDocument/2006/relationships/hyperlink" Target="https://app.powerbi.com/groups/4ed1c976-b4fa-4496-bc4f-546060a08fc4/list?experience=power-bi" TargetMode="External"/><Relationship Id="rId14" Type="http://schemas.openxmlformats.org/officeDocument/2006/relationships/hyperlink" Target="https://app.powerbi.com/groups/6d38c256-3ede-43cc-83c5-3510a3e6bc0c?experience=power-bi" TargetMode="External"/><Relationship Id="rId22" Type="http://schemas.openxmlformats.org/officeDocument/2006/relationships/hyperlink" Target="https://app.powerbi.com/groups/c8250554-3e79-46cd-a860-7005e77301b1?experience=power-bi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BI_GrupoEP@eptv.com.br?subject=Question%20about%20desempenho_comercial%20in%20Power%20BI&amp;body=%0A%0A%0AHere%27s%20the%20report%20link%3A%0Ahttps%3A%2F%2Fapp.powerbi.com%2Fgroups%2F0b73efc3-c3cc-45f1-9240-519e55b13de5%2Freports%2F2afb6ada-d06d-4b08-99f6-43f2aa233dcf%3Fctid%3D7308dcb6-c413-47dd-86ec-de575e4fe294%0AThanks!" TargetMode="External"/><Relationship Id="rId13" Type="http://schemas.openxmlformats.org/officeDocument/2006/relationships/hyperlink" Target="mailto:marilene.pires@eptv.com.br?subject=Question%20about%20Resultado_Eventos_v01%20in%20Power%20BI&amp;body=%0A%0A%0AHere%27s%20the%20report%20link%3A%0Ahttps%3A%2F%2Fapp.powerbi.com%2Fgroups%2Ffad50932-b25d-41c1-b165-1c1d0af6b5ad%2Freports%2Ff6ab3336-974c-4092-915d-6385c8aa7e9f%3Fctid%3D7308dcb6-c413-47dd-86ec-de575e4fe294%0AThanks!" TargetMode="External"/><Relationship Id="rId3" Type="http://schemas.openxmlformats.org/officeDocument/2006/relationships/hyperlink" Target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 TargetMode="External"/><Relationship Id="rId7" Type="http://schemas.openxmlformats.org/officeDocument/2006/relationships/hyperlink" Target="mailto:lais.santos@eptv.com.br?subject=Question%20about%20AdManager_Germanica%20in%20Power%20BI&amp;body=%0A%0A%0AHere%27s%20the%20report%20link%3A%0Ahttps%3A%2F%2Fapp.powerbi.com%2Fgroups%2F0b73efc3-c3cc-45f1-9240-519e55b13de5%2Freports%2F8dc30ba7-93f5-4bea-a099-1bc1f6893c18%3Fctid%3D7308dcb6-c413-47dd-86ec-de575e4fe294%0AThanks!" TargetMode="External"/><Relationship Id="rId12" Type="http://schemas.openxmlformats.org/officeDocument/2006/relationships/hyperlink" Target="mailto:priscila.silva@eptv.com.br?subject=Question%20about%20Painel%20de%20Vendas%20in%20Power%20BI&amp;body=%0A%0A%0AHere%27s%20the%20report%20link%3A%0Ahttps%3A%2F%2Fapp.powerbi.com%2Fgroups%2Ffad50932-b25d-41c1-b165-1c1d0af6b5ad%2Freports%2Fabcb24cc-551b-437f-8beb-c7c0609d8e4f%3Fctid%3D7308dcb6-c413-47dd-86ec-de575e4fe294%0AThanks!" TargetMode="External"/><Relationship Id="rId2" Type="http://schemas.openxmlformats.org/officeDocument/2006/relationships/hyperlink" Target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 TargetMode="External"/><Relationship Id="rId16" Type="http://schemas.openxmlformats.org/officeDocument/2006/relationships/hyperlink" Target="mailto:felipe.barbosa@eptv.com.br?subject=Question%20about%20Unidade_Eventos%20in%20Power%20BI&amp;body=%0A%0A%0AHere%27s%20the%20report%20link%3A%0Ahttps%3A%2F%2Fapp.powerbi.com%2Fgroups%2Fbd03572a-f34d-4ff6-9bb4-541d4ab5118c%2Freports%2F19aff478-11d2-4b6a-be42-360b0b60f8f2%3Fctid%3D7308dcb6-c413-47dd-86ec-de575e4fe294%0AThanks!" TargetMode="External"/><Relationship Id="rId1" Type="http://schemas.openxmlformats.org/officeDocument/2006/relationships/pivotTable" Target="../pivotTables/pivotTable7.xml"/><Relationship Id="rId6" Type="http://schemas.openxmlformats.org/officeDocument/2006/relationships/hyperlink" Target="mailto:caio.novo@eptv.com.br?subject=Question%20about%20Acompanhamento%20N%C3%BAmero%20Di%C3%A1rio%20-%20Exibidora%20in%20Power%20BI&amp;body=%0A%0A%0AHere%27s%20the%20report%20link%3A%0Ahttps%3A%2F%2Fapp.powerbi.com%2Fgroups%2F0b73efc3-c3cc-45f1-9240-519e55b13de5%2Freports%2F6cac744f-517b-4b2d-9b4a-6d134a29e855%3Fctid%3D7308dcb6-c413-47dd-86ec-de575e4fe294%0AThanks!" TargetMode="External"/><Relationship Id="rId11" Type="http://schemas.openxmlformats.org/officeDocument/2006/relationships/hyperlink" Target="mailto:felipe.correia@eptv.com.br?subject=Question%20about%20Calend%C3%A1rio%20Corporativo%20PBI%20in%20Power%20BI&amp;body=%0A%0A%0AHere%27s%20the%20report%20link%3A%0Ahttps%3A%2F%2Fapp.powerbi.com%2Fgroups%2F43774005-3ad4-4a71-a12c-c70f24edf487%2Freports%2F6f5b4d09-1f91-4f25-83cf-a61b246e0f73%3Fctid%3D7308dcb6-c413-47dd-86ec-de575e4fe294%0AThanks!" TargetMode="External"/><Relationship Id="rId5" Type="http://schemas.openxmlformats.org/officeDocument/2006/relationships/hyperlink" Target="mailto:hugo.santos@empresaspioneiras.onmicrosoft.com?subject=Question%20about%20Performance%20Campanhas%20in%20Power%20BI&amp;body=%0A%0A%0AHere%27s%20the%20report%20link%3A%0Ahttps%3A%2F%2Fapp.powerbi.com%2Fgroups%2Fe12eb10e-3ad3-4583-baa8-c1b72159e21c%2Freports%2F3034b08e-4cbf-410a-a48f-f88699c56aa7%3Fctid%3D7308dcb6-c413-47dd-86ec-de575e4fe294%0AThanks!" TargetMode="External"/><Relationship Id="rId15" Type="http://schemas.openxmlformats.org/officeDocument/2006/relationships/hyperlink" Target="mailto:alexandre.oliveira@eptv.com.br?subject=Question%20about%20Or%C3%A7amento_2026%20in%20Power%20BI&amp;body=%0A%0A%0AHere%27s%20the%20report%20link%3A%0Ahttps%3A%2F%2Fapp.powerbi.com%2Fgroups%2F4963782d-ca3c-4507-9fc1-6cfe1216c285%2Freports%2F0f9239af-e73d-4a3c-b331-1af74bcfa0bc%3Fctid%3D7308dcb6-c413-47dd-86ec-de575e4fe294%0AThanks!" TargetMode="External"/><Relationship Id="rId10" Type="http://schemas.openxmlformats.org/officeDocument/2006/relationships/hyperlink" Target="mailto:kendi.nakano@eptv.com.br?subject=Question%20about%20monitoramento_crowley%20in%20Power%20BI&amp;body=%0A%0A%0AHere%27s%20the%20report%20link%3A%0Ahttps%3A%2F%2Fapp.powerbi.com%2Fgroups%2F0b73efc3-c3cc-45f1-9240-519e55b13de5%2Freports%2F75c1d0a3-633a-4664-a63d-db4af4da3054%3Fctid%3D7308dcb6-c413-47dd-86ec-de575e4fe294%0AThanks!" TargetMode="External"/><Relationship Id="rId4" Type="http://schemas.openxmlformats.org/officeDocument/2006/relationships/hyperlink" Target="mailto:guilherme.pompeo@eptv.com.br?subject=Question%20about%20An%C3%A1lise%20de%20Desempenho%20Chatbot%20in%20Power%20BI&amp;body=%0A%0A%0AHere%27s%20the%20report%20link%3A%0Ahttps%3A%2F%2Fapp.powerbi.com%2Fgroups%2Fe12eb10e-3ad3-4583-baa8-c1b72159e21c%2Freports%2Ff1efa003-e9f6-4c09-9024-d554cffc39e0%3Fctid%3D7308dcb6-c413-47dd-86ec-de575e4fe294%0AThanks!" TargetMode="External"/><Relationship Id="rId9" Type="http://schemas.openxmlformats.org/officeDocument/2006/relationships/hyperlink" Target="mailto:felipe.correia@eptv.com.br?subject=Question%20about%20desempenho_comercial_dev_v1.1.0%20in%20Power%20BI&amp;body=%0A%0A%0AHere%27s%20the%20report%20link%3A%0Ahttps%3A%2F%2Fapp.powerbi.com%2Fgroups%2F0b73efc3-c3cc-45f1-9240-519e55b13de5%2Freports%2F173231fb-49f8-4548-89e7-6a93f3d631be%3Fctid%3D7308dcb6-c413-47dd-86ec-de575e4fe294%0AThanks!" TargetMode="External"/><Relationship Id="rId14" Type="http://schemas.openxmlformats.org/officeDocument/2006/relationships/hyperlink" Target="mailto:leonardo.bruno@eptv.com.br?subject=Question%20about%20Desempenho%20-%20Entretenimento%20in%20Power%20BI&amp;body=%0A%0A%0AHere%27s%20the%20report%20link%3A%0Ahttps%3A%2F%2Fapp.powerbi.com%2Fgroups%2F1abc4333-9f61-43db-8926-59ed05976d2a%2Freports%2F32e46cf2-0530-48ca-aa6e-d981dd710314%3Fctid%3D7308dcb6-c413-47dd-86ec-de575e4fe294%0AThanks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J26"/>
  <sheetViews>
    <sheetView showGridLines="0" workbookViewId="0">
      <selection activeCell="B34" sqref="B34"/>
    </sheetView>
  </sheetViews>
  <sheetFormatPr defaultRowHeight="13.8"/>
  <cols>
    <col min="1" max="1" width="55.3984375" style="93" bestFit="1" customWidth="1"/>
    <col min="2" max="2" width="13.59765625" style="93" customWidth="1"/>
    <col min="3" max="3" width="16" style="93" bestFit="1" customWidth="1"/>
    <col min="4" max="4" width="9.09765625" style="93" bestFit="1" customWidth="1"/>
    <col min="5" max="5" width="17.8984375" style="93" bestFit="1" customWidth="1"/>
    <col min="6" max="6" width="20.296875" style="93" bestFit="1" customWidth="1"/>
    <col min="7" max="7" width="9.296875" style="93" bestFit="1" customWidth="1"/>
    <col min="8" max="8" width="11.69921875" style="93" bestFit="1" customWidth="1"/>
    <col min="9" max="9" width="21.69921875" style="93" bestFit="1" customWidth="1"/>
    <col min="10" max="10" width="14.59765625" style="93" bestFit="1" customWidth="1"/>
  </cols>
  <sheetData>
    <row r="1" spans="1:10" ht="27.6" customHeight="1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0" ht="9" customHeight="1"/>
    <row r="3" spans="1:10" s="2" customFormat="1">
      <c r="A3" s="1" t="s">
        <v>1</v>
      </c>
      <c r="B3" s="1" t="s">
        <v>2</v>
      </c>
      <c r="C3" s="1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>
      <c r="A4" t="s">
        <v>11</v>
      </c>
      <c r="B4" t="s">
        <v>12</v>
      </c>
      <c r="C4" t="s">
        <v>13</v>
      </c>
      <c r="D4" t="s">
        <v>14</v>
      </c>
      <c r="E4" s="19">
        <v>2025</v>
      </c>
      <c r="F4" s="19" t="s">
        <v>15</v>
      </c>
      <c r="G4" s="19" t="s">
        <v>16</v>
      </c>
      <c r="H4" s="19" t="s">
        <v>15</v>
      </c>
      <c r="I4" s="19"/>
      <c r="J4" s="19"/>
    </row>
    <row r="5" spans="1:10">
      <c r="A5" t="s">
        <v>17</v>
      </c>
      <c r="B5" t="s">
        <v>18</v>
      </c>
      <c r="C5" t="s">
        <v>13</v>
      </c>
      <c r="D5" t="s">
        <v>14</v>
      </c>
      <c r="E5" s="19">
        <v>2026</v>
      </c>
      <c r="F5" s="19" t="s">
        <v>15</v>
      </c>
      <c r="G5" s="19" t="s">
        <v>15</v>
      </c>
      <c r="H5" s="19" t="s">
        <v>15</v>
      </c>
      <c r="I5" s="19"/>
      <c r="J5" s="19"/>
    </row>
    <row r="6" spans="1:10">
      <c r="A6" t="s">
        <v>19</v>
      </c>
      <c r="B6" t="s">
        <v>18</v>
      </c>
      <c r="C6" t="s">
        <v>13</v>
      </c>
      <c r="D6" t="s">
        <v>14</v>
      </c>
      <c r="E6" s="19">
        <v>2026</v>
      </c>
      <c r="F6" s="19" t="s">
        <v>15</v>
      </c>
      <c r="G6" s="19" t="s">
        <v>20</v>
      </c>
      <c r="H6" s="19" t="s">
        <v>15</v>
      </c>
      <c r="I6" s="19"/>
      <c r="J6" s="19"/>
    </row>
    <row r="7" spans="1:10">
      <c r="A7" t="s">
        <v>21</v>
      </c>
      <c r="B7" t="s">
        <v>12</v>
      </c>
      <c r="C7" t="s">
        <v>13</v>
      </c>
      <c r="D7" t="s">
        <v>14</v>
      </c>
      <c r="E7" s="19">
        <v>2025</v>
      </c>
      <c r="F7" s="19" t="s">
        <v>15</v>
      </c>
      <c r="G7" s="19" t="s">
        <v>16</v>
      </c>
      <c r="H7" s="19" t="s">
        <v>15</v>
      </c>
      <c r="I7" s="19"/>
      <c r="J7" s="19"/>
    </row>
    <row r="8" spans="1:10">
      <c r="A8" t="s">
        <v>22</v>
      </c>
      <c r="B8" t="s">
        <v>12</v>
      </c>
      <c r="C8" t="s">
        <v>13</v>
      </c>
      <c r="D8" t="s">
        <v>14</v>
      </c>
      <c r="E8" s="19">
        <v>2025</v>
      </c>
      <c r="F8" s="19" t="s">
        <v>15</v>
      </c>
      <c r="G8" s="19" t="s">
        <v>23</v>
      </c>
      <c r="H8" s="19" t="s">
        <v>15</v>
      </c>
      <c r="I8" s="19"/>
      <c r="J8" s="19"/>
    </row>
    <row r="9" spans="1:10">
      <c r="A9" t="s">
        <v>24</v>
      </c>
      <c r="B9" t="s">
        <v>12</v>
      </c>
      <c r="C9" t="s">
        <v>25</v>
      </c>
      <c r="D9" t="s">
        <v>14</v>
      </c>
      <c r="E9" s="19">
        <v>2025</v>
      </c>
      <c r="F9" s="19" t="s">
        <v>15</v>
      </c>
      <c r="G9" s="19" t="s">
        <v>15</v>
      </c>
      <c r="H9" s="19"/>
      <c r="I9" s="19"/>
      <c r="J9" s="19"/>
    </row>
    <row r="10" spans="1:10">
      <c r="A10" t="s">
        <v>26</v>
      </c>
      <c r="B10" t="s">
        <v>12</v>
      </c>
      <c r="C10" t="s">
        <v>13</v>
      </c>
      <c r="D10" t="s">
        <v>14</v>
      </c>
      <c r="E10" s="19">
        <v>2025</v>
      </c>
      <c r="F10" s="19" t="s">
        <v>15</v>
      </c>
      <c r="G10" s="19" t="s">
        <v>15</v>
      </c>
      <c r="H10" s="19"/>
      <c r="I10" s="19"/>
      <c r="J10" s="19"/>
    </row>
    <row r="11" spans="1:10">
      <c r="A11" t="s">
        <v>27</v>
      </c>
      <c r="B11" t="s">
        <v>12</v>
      </c>
      <c r="C11" t="s">
        <v>28</v>
      </c>
      <c r="D11" t="s">
        <v>14</v>
      </c>
      <c r="E11" s="19">
        <v>2025</v>
      </c>
      <c r="F11" s="19" t="s">
        <v>15</v>
      </c>
      <c r="G11" s="19" t="s">
        <v>15</v>
      </c>
      <c r="H11" s="19"/>
      <c r="I11" s="19"/>
      <c r="J11" s="19"/>
    </row>
    <row r="12" spans="1:10">
      <c r="A12" t="s">
        <v>29</v>
      </c>
      <c r="B12" t="s">
        <v>12</v>
      </c>
      <c r="C12" t="s">
        <v>13</v>
      </c>
      <c r="D12" t="s">
        <v>14</v>
      </c>
      <c r="E12" s="19">
        <v>2025</v>
      </c>
      <c r="F12" s="19" t="s">
        <v>15</v>
      </c>
      <c r="G12" s="19" t="s">
        <v>15</v>
      </c>
      <c r="H12" s="19"/>
      <c r="I12" s="19"/>
      <c r="J12" s="19"/>
    </row>
    <row r="13" spans="1:10">
      <c r="A13" t="s">
        <v>30</v>
      </c>
      <c r="B13" t="s">
        <v>12</v>
      </c>
      <c r="C13" t="s">
        <v>28</v>
      </c>
      <c r="D13" t="s">
        <v>14</v>
      </c>
      <c r="E13" s="19">
        <v>2025</v>
      </c>
      <c r="F13" s="19" t="s">
        <v>15</v>
      </c>
      <c r="G13" s="19" t="s">
        <v>15</v>
      </c>
      <c r="H13" s="19"/>
      <c r="I13" s="19"/>
      <c r="J13" s="19"/>
    </row>
    <row r="14" spans="1:10">
      <c r="A14" t="s">
        <v>31</v>
      </c>
      <c r="B14" t="s">
        <v>12</v>
      </c>
      <c r="C14" t="s">
        <v>13</v>
      </c>
      <c r="D14" t="s">
        <v>14</v>
      </c>
      <c r="E14" s="19">
        <v>2025</v>
      </c>
      <c r="F14" s="19" t="s">
        <v>15</v>
      </c>
      <c r="G14" s="19" t="s">
        <v>15</v>
      </c>
      <c r="H14" s="19"/>
      <c r="I14" s="19"/>
      <c r="J14" s="19"/>
    </row>
    <row r="15" spans="1:10">
      <c r="A15" t="s">
        <v>32</v>
      </c>
      <c r="B15" t="s">
        <v>12</v>
      </c>
      <c r="C15" t="s">
        <v>13</v>
      </c>
      <c r="D15" t="s">
        <v>14</v>
      </c>
      <c r="E15" s="19">
        <v>2025</v>
      </c>
      <c r="F15" s="19" t="s">
        <v>15</v>
      </c>
      <c r="G15" s="19" t="s">
        <v>15</v>
      </c>
      <c r="H15" s="19"/>
      <c r="I15" s="19"/>
      <c r="J15" s="19"/>
    </row>
    <row r="16" spans="1:10">
      <c r="A16" t="s">
        <v>33</v>
      </c>
      <c r="B16" t="s">
        <v>12</v>
      </c>
      <c r="C16" t="s">
        <v>13</v>
      </c>
      <c r="D16" t="s">
        <v>14</v>
      </c>
      <c r="E16" s="19">
        <v>2025</v>
      </c>
      <c r="F16" s="19" t="s">
        <v>15</v>
      </c>
      <c r="G16" s="19" t="s">
        <v>15</v>
      </c>
      <c r="H16" s="19"/>
      <c r="I16" s="19"/>
      <c r="J16" s="19"/>
    </row>
    <row r="17" spans="1:10">
      <c r="A17" t="s">
        <v>34</v>
      </c>
      <c r="B17" t="s">
        <v>12</v>
      </c>
      <c r="C17" t="s">
        <v>13</v>
      </c>
      <c r="D17" t="s">
        <v>14</v>
      </c>
      <c r="E17" s="19">
        <v>2025</v>
      </c>
      <c r="F17" s="19" t="s">
        <v>15</v>
      </c>
      <c r="G17" s="19" t="s">
        <v>15</v>
      </c>
      <c r="H17" s="19"/>
      <c r="I17" s="19"/>
      <c r="J17" s="19"/>
    </row>
    <row r="18" spans="1:10">
      <c r="A18" t="s">
        <v>35</v>
      </c>
      <c r="B18" t="s">
        <v>12</v>
      </c>
      <c r="C18" t="s">
        <v>13</v>
      </c>
      <c r="D18" t="s">
        <v>14</v>
      </c>
      <c r="E18" s="19">
        <v>2025</v>
      </c>
      <c r="F18" s="19" t="s">
        <v>15</v>
      </c>
      <c r="G18" s="19" t="s">
        <v>15</v>
      </c>
      <c r="H18" s="19"/>
      <c r="I18" s="19"/>
      <c r="J18" s="19"/>
    </row>
    <row r="19" spans="1:10">
      <c r="A19" t="s">
        <v>36</v>
      </c>
      <c r="B19" t="s">
        <v>12</v>
      </c>
      <c r="C19" t="s">
        <v>13</v>
      </c>
      <c r="D19" t="s">
        <v>14</v>
      </c>
      <c r="E19" s="19">
        <v>2025</v>
      </c>
      <c r="F19" s="19" t="s">
        <v>15</v>
      </c>
      <c r="G19" s="19" t="s">
        <v>15</v>
      </c>
      <c r="H19" s="19"/>
      <c r="I19" s="19"/>
      <c r="J19" s="19"/>
    </row>
    <row r="20" spans="1:10">
      <c r="A20" t="s">
        <v>37</v>
      </c>
      <c r="B20" t="s">
        <v>12</v>
      </c>
      <c r="C20" t="s">
        <v>13</v>
      </c>
      <c r="D20" t="s">
        <v>14</v>
      </c>
      <c r="E20" s="19">
        <v>2025</v>
      </c>
      <c r="F20" s="19" t="s">
        <v>15</v>
      </c>
      <c r="G20" s="19" t="s">
        <v>15</v>
      </c>
      <c r="H20" s="19"/>
      <c r="I20" s="19"/>
      <c r="J20" s="19"/>
    </row>
    <row r="21" spans="1:10">
      <c r="A21" t="s">
        <v>38</v>
      </c>
      <c r="B21" t="s">
        <v>12</v>
      </c>
      <c r="C21" t="s">
        <v>13</v>
      </c>
      <c r="D21" t="s">
        <v>14</v>
      </c>
      <c r="E21" s="19">
        <v>2025</v>
      </c>
      <c r="F21" s="19" t="s">
        <v>15</v>
      </c>
      <c r="G21" s="19" t="s">
        <v>15</v>
      </c>
      <c r="H21" s="19"/>
      <c r="I21" s="19"/>
      <c r="J21" s="19"/>
    </row>
    <row r="22" spans="1:10">
      <c r="A22" t="s">
        <v>39</v>
      </c>
      <c r="B22" t="s">
        <v>12</v>
      </c>
      <c r="C22" t="s">
        <v>13</v>
      </c>
      <c r="D22" t="s">
        <v>40</v>
      </c>
      <c r="E22" s="19">
        <v>2025</v>
      </c>
      <c r="F22" s="19" t="s">
        <v>15</v>
      </c>
      <c r="G22" s="19" t="s">
        <v>15</v>
      </c>
      <c r="H22" s="19"/>
      <c r="I22" s="19"/>
      <c r="J22" s="19"/>
    </row>
    <row r="23" spans="1:10">
      <c r="A23" t="s">
        <v>41</v>
      </c>
      <c r="B23" t="s">
        <v>12</v>
      </c>
      <c r="C23" t="s">
        <v>13</v>
      </c>
      <c r="D23" t="s">
        <v>40</v>
      </c>
      <c r="E23" s="19">
        <v>2025</v>
      </c>
      <c r="F23" s="19" t="s">
        <v>15</v>
      </c>
      <c r="G23" s="19" t="s">
        <v>15</v>
      </c>
      <c r="H23" s="19"/>
      <c r="I23" s="19"/>
      <c r="J23" s="19"/>
    </row>
    <row r="24" spans="1:10">
      <c r="A24" t="s">
        <v>42</v>
      </c>
      <c r="B24" t="s">
        <v>12</v>
      </c>
      <c r="C24" t="s">
        <v>13</v>
      </c>
      <c r="D24" t="s">
        <v>14</v>
      </c>
      <c r="E24" s="19">
        <v>2025</v>
      </c>
      <c r="F24" s="19" t="s">
        <v>15</v>
      </c>
      <c r="G24" s="19" t="s">
        <v>15</v>
      </c>
      <c r="H24" s="19"/>
      <c r="I24" s="19"/>
      <c r="J24" s="19"/>
    </row>
    <row r="25" spans="1:10">
      <c r="A25" t="s">
        <v>43</v>
      </c>
      <c r="B25" t="s">
        <v>12</v>
      </c>
      <c r="C25" t="s">
        <v>13</v>
      </c>
      <c r="D25" t="s">
        <v>14</v>
      </c>
      <c r="E25" s="19">
        <v>2025</v>
      </c>
      <c r="F25" s="19" t="s">
        <v>15</v>
      </c>
      <c r="G25" s="19" t="s">
        <v>15</v>
      </c>
      <c r="H25" s="19"/>
      <c r="I25" s="19"/>
      <c r="J25" s="19"/>
    </row>
    <row r="26" spans="1:10">
      <c r="A26" t="s">
        <v>44</v>
      </c>
      <c r="B26" t="s">
        <v>12</v>
      </c>
      <c r="C26" t="s">
        <v>13</v>
      </c>
      <c r="D26" t="s">
        <v>14</v>
      </c>
      <c r="E26" s="19">
        <v>2025</v>
      </c>
      <c r="F26" s="19" t="s">
        <v>15</v>
      </c>
      <c r="G26" s="19" t="s">
        <v>15</v>
      </c>
      <c r="H26" s="19"/>
      <c r="I26" s="19"/>
      <c r="J26" s="19"/>
    </row>
  </sheetData>
  <mergeCells count="1">
    <mergeCell ref="A1:J1"/>
  </mergeCells>
  <conditionalFormatting sqref="A1:A1048576">
    <cfRule type="duplicateValues" dxfId="23" priority="2"/>
  </conditionalFormatting>
  <conditionalFormatting sqref="A9:A26">
    <cfRule type="duplicateValues" dxfId="2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96" workbookViewId="0">
      <selection activeCell="I1" sqref="I1"/>
    </sheetView>
  </sheetViews>
  <sheetFormatPr defaultRowHeight="13.8"/>
  <cols>
    <col min="2" max="2" width="67.09765625" style="93" customWidth="1"/>
  </cols>
  <sheetData>
    <row r="1" spans="1:7" ht="28.8" customHeight="1">
      <c r="A1" s="20" t="s">
        <v>45</v>
      </c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</row>
    <row r="2" spans="1:7" ht="43.2" customHeight="1">
      <c r="A2" s="23">
        <v>7130</v>
      </c>
      <c r="B2" s="24" t="s">
        <v>52</v>
      </c>
      <c r="C2" s="24" t="s">
        <v>53</v>
      </c>
      <c r="D2" s="24" t="s">
        <v>54</v>
      </c>
      <c r="E2" s="24" t="s">
        <v>55</v>
      </c>
      <c r="F2" s="24" t="s">
        <v>56</v>
      </c>
      <c r="G2" s="24">
        <v>0</v>
      </c>
    </row>
    <row r="3" spans="1:7" ht="43.2" customHeight="1">
      <c r="A3" s="21">
        <v>6900</v>
      </c>
      <c r="B3" s="22" t="s">
        <v>57</v>
      </c>
      <c r="C3" s="22" t="s">
        <v>58</v>
      </c>
      <c r="D3" s="22" t="s">
        <v>54</v>
      </c>
      <c r="E3" s="22" t="s">
        <v>55</v>
      </c>
      <c r="F3" s="22" t="s">
        <v>56</v>
      </c>
      <c r="G3" s="22">
        <v>0</v>
      </c>
    </row>
    <row r="4" spans="1:7" ht="43.2" customHeight="1">
      <c r="A4" s="23">
        <v>6737</v>
      </c>
      <c r="B4" s="24" t="s">
        <v>59</v>
      </c>
      <c r="C4" s="24" t="s">
        <v>53</v>
      </c>
      <c r="D4" s="24" t="s">
        <v>60</v>
      </c>
      <c r="E4" s="24" t="s">
        <v>55</v>
      </c>
      <c r="F4" s="24" t="s">
        <v>56</v>
      </c>
      <c r="G4" s="24">
        <v>0</v>
      </c>
    </row>
    <row r="5" spans="1:7" ht="72" customHeight="1">
      <c r="A5" s="23">
        <v>6866</v>
      </c>
      <c r="B5" s="24" t="s">
        <v>61</v>
      </c>
      <c r="C5" s="24" t="s">
        <v>62</v>
      </c>
      <c r="D5" s="24" t="s">
        <v>54</v>
      </c>
      <c r="E5" s="24" t="s">
        <v>55</v>
      </c>
      <c r="F5" s="24" t="s">
        <v>56</v>
      </c>
      <c r="G5" s="24">
        <v>0</v>
      </c>
    </row>
    <row r="6" spans="1:7" ht="72" customHeight="1">
      <c r="A6" s="21">
        <v>6865</v>
      </c>
      <c r="B6" s="22" t="s">
        <v>63</v>
      </c>
      <c r="C6" s="22" t="s">
        <v>62</v>
      </c>
      <c r="D6" s="22" t="s">
        <v>54</v>
      </c>
      <c r="E6" s="22" t="s">
        <v>55</v>
      </c>
      <c r="F6" s="22" t="s">
        <v>56</v>
      </c>
      <c r="G6" s="22">
        <v>0</v>
      </c>
    </row>
    <row r="7" spans="1:7" ht="57.6" customHeight="1">
      <c r="A7" s="21">
        <v>6736</v>
      </c>
      <c r="B7" s="22" t="s">
        <v>64</v>
      </c>
      <c r="C7" s="22" t="s">
        <v>65</v>
      </c>
      <c r="D7" s="22" t="s">
        <v>54</v>
      </c>
      <c r="E7" s="22" t="s">
        <v>55</v>
      </c>
      <c r="F7" s="22" t="s">
        <v>56</v>
      </c>
      <c r="G7" s="22">
        <v>0</v>
      </c>
    </row>
    <row r="8" spans="1:7" ht="43.2" customHeight="1">
      <c r="A8" s="21">
        <v>6904</v>
      </c>
      <c r="B8" s="22" t="s">
        <v>66</v>
      </c>
      <c r="C8" s="22" t="s">
        <v>67</v>
      </c>
      <c r="D8" s="22" t="s">
        <v>60</v>
      </c>
      <c r="E8" s="22" t="s">
        <v>55</v>
      </c>
      <c r="F8" s="22" t="s">
        <v>56</v>
      </c>
      <c r="G8" s="22">
        <v>0</v>
      </c>
    </row>
    <row r="9" spans="1:7" ht="43.2" customHeight="1">
      <c r="A9" s="23">
        <v>7163</v>
      </c>
      <c r="B9" s="24" t="s">
        <v>68</v>
      </c>
      <c r="C9" s="24" t="s">
        <v>69</v>
      </c>
      <c r="D9" s="24" t="s">
        <v>60</v>
      </c>
      <c r="E9" s="24" t="s">
        <v>70</v>
      </c>
      <c r="F9" s="24" t="s">
        <v>56</v>
      </c>
      <c r="G9" s="24">
        <v>0</v>
      </c>
    </row>
    <row r="10" spans="1:7" ht="43.2" customHeight="1">
      <c r="A10" s="23">
        <v>7179</v>
      </c>
      <c r="B10" s="24" t="s">
        <v>71</v>
      </c>
      <c r="C10" s="24" t="s">
        <v>69</v>
      </c>
      <c r="D10" s="24" t="s">
        <v>60</v>
      </c>
      <c r="E10" s="24" t="s">
        <v>55</v>
      </c>
      <c r="F10" s="24" t="s">
        <v>56</v>
      </c>
      <c r="G10" s="24">
        <v>0</v>
      </c>
    </row>
    <row r="11" spans="1:7" ht="43.2" customHeight="1">
      <c r="A11" s="21">
        <v>7164</v>
      </c>
      <c r="B11" s="22" t="s">
        <v>72</v>
      </c>
      <c r="C11" s="22" t="s">
        <v>69</v>
      </c>
      <c r="D11" s="22" t="s">
        <v>60</v>
      </c>
      <c r="E11" s="22" t="s">
        <v>70</v>
      </c>
      <c r="F11" s="22" t="s">
        <v>56</v>
      </c>
      <c r="G11" s="22">
        <v>0</v>
      </c>
    </row>
    <row r="12" spans="1:7" ht="43.2" customHeight="1">
      <c r="A12" s="21">
        <v>7165</v>
      </c>
      <c r="B12" s="22" t="s">
        <v>73</v>
      </c>
      <c r="C12" s="22" t="s">
        <v>69</v>
      </c>
      <c r="D12" s="22" t="s">
        <v>60</v>
      </c>
      <c r="E12" s="22" t="s">
        <v>70</v>
      </c>
      <c r="F12" s="22" t="s">
        <v>56</v>
      </c>
      <c r="G12" s="22">
        <v>0</v>
      </c>
    </row>
    <row r="13" spans="1:7" ht="43.2" customHeight="1">
      <c r="A13" s="23">
        <v>6947</v>
      </c>
      <c r="B13" s="24" t="s">
        <v>74</v>
      </c>
      <c r="C13" s="24" t="s">
        <v>69</v>
      </c>
      <c r="D13" s="24" t="s">
        <v>60</v>
      </c>
      <c r="E13" s="24" t="s">
        <v>55</v>
      </c>
      <c r="F13" s="24" t="s">
        <v>56</v>
      </c>
      <c r="G13" s="24">
        <v>0</v>
      </c>
    </row>
    <row r="14" spans="1:7" ht="43.2" customHeight="1">
      <c r="A14" s="21">
        <v>6773</v>
      </c>
      <c r="B14" s="22" t="s">
        <v>75</v>
      </c>
      <c r="C14" s="22" t="s">
        <v>53</v>
      </c>
      <c r="D14" s="22" t="s">
        <v>60</v>
      </c>
      <c r="E14" s="22" t="s">
        <v>55</v>
      </c>
      <c r="F14" s="22" t="s">
        <v>56</v>
      </c>
      <c r="G14" s="22">
        <v>0</v>
      </c>
    </row>
    <row r="15" spans="1:7" ht="43.2" customHeight="1">
      <c r="A15" s="21">
        <v>7172</v>
      </c>
      <c r="B15" s="22" t="s">
        <v>76</v>
      </c>
      <c r="C15" s="22" t="s">
        <v>53</v>
      </c>
      <c r="D15" s="22" t="s">
        <v>60</v>
      </c>
      <c r="E15" s="22" t="s">
        <v>55</v>
      </c>
      <c r="F15" s="22" t="s">
        <v>56</v>
      </c>
      <c r="G15" s="22">
        <v>0</v>
      </c>
    </row>
    <row r="16" spans="1:7" ht="43.2" customHeight="1">
      <c r="A16" s="21">
        <v>6874</v>
      </c>
      <c r="B16" s="22" t="s">
        <v>77</v>
      </c>
      <c r="C16" s="22" t="s">
        <v>53</v>
      </c>
      <c r="D16" s="22" t="s">
        <v>54</v>
      </c>
      <c r="E16" s="22" t="s">
        <v>55</v>
      </c>
      <c r="F16" s="22" t="s">
        <v>56</v>
      </c>
      <c r="G16" s="22">
        <v>0</v>
      </c>
    </row>
    <row r="17" spans="1:7" ht="57.6" customHeight="1">
      <c r="A17" s="23">
        <v>6869</v>
      </c>
      <c r="B17" s="24" t="s">
        <v>78</v>
      </c>
      <c r="C17" s="24" t="s">
        <v>65</v>
      </c>
      <c r="D17" s="24" t="s">
        <v>60</v>
      </c>
      <c r="E17" s="24" t="s">
        <v>55</v>
      </c>
      <c r="F17" s="24" t="s">
        <v>56</v>
      </c>
      <c r="G17" s="24">
        <v>0</v>
      </c>
    </row>
    <row r="18" spans="1:7" ht="43.2" customHeight="1">
      <c r="A18" s="23">
        <v>6868</v>
      </c>
      <c r="B18" s="24" t="s">
        <v>79</v>
      </c>
      <c r="C18" s="24" t="s">
        <v>56</v>
      </c>
      <c r="D18" s="24" t="s">
        <v>60</v>
      </c>
      <c r="E18" s="24" t="s">
        <v>55</v>
      </c>
      <c r="F18" s="24" t="s">
        <v>56</v>
      </c>
      <c r="G18" s="24">
        <v>0</v>
      </c>
    </row>
    <row r="19" spans="1:7" ht="43.2" customHeight="1">
      <c r="A19" s="21">
        <v>6876</v>
      </c>
      <c r="B19" s="22" t="s">
        <v>80</v>
      </c>
      <c r="C19" s="22" t="s">
        <v>53</v>
      </c>
      <c r="D19" s="22" t="s">
        <v>60</v>
      </c>
      <c r="E19" s="22" t="s">
        <v>55</v>
      </c>
      <c r="F19" s="22" t="s">
        <v>56</v>
      </c>
      <c r="G19" s="22">
        <v>0</v>
      </c>
    </row>
    <row r="20" spans="1:7" ht="43.2" customHeight="1">
      <c r="A20" s="21">
        <v>6871</v>
      </c>
      <c r="B20" s="22" t="s">
        <v>81</v>
      </c>
      <c r="C20" s="22" t="s">
        <v>53</v>
      </c>
      <c r="D20" s="22" t="s">
        <v>60</v>
      </c>
      <c r="E20" s="22" t="s">
        <v>55</v>
      </c>
      <c r="F20" s="22" t="s">
        <v>56</v>
      </c>
      <c r="G20" s="22">
        <v>0</v>
      </c>
    </row>
    <row r="21" spans="1:7" ht="57.6" customHeight="1">
      <c r="A21" s="21">
        <v>6872</v>
      </c>
      <c r="B21" s="22" t="s">
        <v>81</v>
      </c>
      <c r="C21" s="22" t="s">
        <v>65</v>
      </c>
      <c r="D21" s="22" t="s">
        <v>54</v>
      </c>
      <c r="E21" s="22" t="s">
        <v>55</v>
      </c>
      <c r="F21" s="22" t="s">
        <v>56</v>
      </c>
      <c r="G21" s="22">
        <v>0</v>
      </c>
    </row>
    <row r="22" spans="1:7" ht="43.2" customHeight="1">
      <c r="A22" s="23">
        <v>6767</v>
      </c>
      <c r="B22" s="24" t="s">
        <v>82</v>
      </c>
      <c r="C22" s="24" t="s">
        <v>53</v>
      </c>
      <c r="D22" s="24" t="s">
        <v>54</v>
      </c>
      <c r="E22" s="24" t="s">
        <v>55</v>
      </c>
      <c r="F22" s="24" t="s">
        <v>56</v>
      </c>
      <c r="G22" s="24">
        <v>0</v>
      </c>
    </row>
    <row r="23" spans="1:7" ht="43.2" customHeight="1">
      <c r="A23" s="23">
        <v>6944</v>
      </c>
      <c r="B23" s="24" t="s">
        <v>83</v>
      </c>
      <c r="C23" s="24" t="s">
        <v>53</v>
      </c>
      <c r="D23" s="24" t="s">
        <v>60</v>
      </c>
      <c r="E23" s="24" t="s">
        <v>55</v>
      </c>
      <c r="F23" s="24" t="s">
        <v>56</v>
      </c>
      <c r="G23" s="24">
        <v>0</v>
      </c>
    </row>
    <row r="24" spans="1:7" ht="43.2" customHeight="1">
      <c r="A24" s="23">
        <v>6824</v>
      </c>
      <c r="B24" s="24" t="s">
        <v>84</v>
      </c>
      <c r="C24" s="24" t="s">
        <v>53</v>
      </c>
      <c r="D24" s="24" t="s">
        <v>60</v>
      </c>
      <c r="E24" s="24" t="s">
        <v>55</v>
      </c>
      <c r="F24" s="24" t="s">
        <v>56</v>
      </c>
      <c r="G24" s="24">
        <v>0</v>
      </c>
    </row>
    <row r="25" spans="1:7" ht="43.2" customHeight="1">
      <c r="A25" s="21">
        <v>7158</v>
      </c>
      <c r="B25" s="22" t="s">
        <v>85</v>
      </c>
      <c r="C25" s="22" t="s">
        <v>58</v>
      </c>
      <c r="D25" s="22" t="s">
        <v>54</v>
      </c>
      <c r="E25" s="22" t="s">
        <v>55</v>
      </c>
      <c r="F25" s="22" t="s">
        <v>56</v>
      </c>
      <c r="G25" s="22">
        <v>0</v>
      </c>
    </row>
    <row r="26" spans="1:7" ht="43.2" customHeight="1">
      <c r="A26" s="23">
        <v>6764</v>
      </c>
      <c r="B26" s="24" t="s">
        <v>86</v>
      </c>
      <c r="C26" s="24" t="s">
        <v>53</v>
      </c>
      <c r="D26" s="24" t="s">
        <v>60</v>
      </c>
      <c r="E26" s="24" t="s">
        <v>55</v>
      </c>
      <c r="F26" s="24" t="s">
        <v>56</v>
      </c>
      <c r="G26" s="24">
        <v>0</v>
      </c>
    </row>
    <row r="27" spans="1:7" ht="43.2" customHeight="1">
      <c r="A27" s="23">
        <v>7131</v>
      </c>
      <c r="B27" s="24" t="s">
        <v>87</v>
      </c>
      <c r="C27" s="24" t="s">
        <v>58</v>
      </c>
      <c r="D27" s="24" t="s">
        <v>60</v>
      </c>
      <c r="E27" s="24" t="s">
        <v>55</v>
      </c>
      <c r="F27" s="24" t="s">
        <v>56</v>
      </c>
      <c r="G27" s="24">
        <v>0</v>
      </c>
    </row>
    <row r="28" spans="1:7" ht="43.2" customHeight="1">
      <c r="A28" s="21">
        <v>6997</v>
      </c>
      <c r="B28" s="22" t="s">
        <v>88</v>
      </c>
      <c r="C28" s="22" t="s">
        <v>53</v>
      </c>
      <c r="D28" s="22" t="s">
        <v>60</v>
      </c>
      <c r="E28" s="22" t="s">
        <v>55</v>
      </c>
      <c r="F28" s="22" t="s">
        <v>56</v>
      </c>
      <c r="G28" s="22">
        <v>0</v>
      </c>
    </row>
    <row r="29" spans="1:7" ht="43.2" customHeight="1">
      <c r="A29" s="21">
        <v>6768</v>
      </c>
      <c r="B29" s="22" t="s">
        <v>89</v>
      </c>
      <c r="C29" s="22" t="s">
        <v>53</v>
      </c>
      <c r="D29" s="22" t="s">
        <v>60</v>
      </c>
      <c r="E29" s="22" t="s">
        <v>55</v>
      </c>
      <c r="F29" s="22" t="s">
        <v>56</v>
      </c>
      <c r="G29" s="22">
        <v>0</v>
      </c>
    </row>
    <row r="30" spans="1:7" ht="72" customHeight="1">
      <c r="A30" s="21">
        <v>6782</v>
      </c>
      <c r="B30" s="22" t="s">
        <v>90</v>
      </c>
      <c r="C30" s="22" t="s">
        <v>62</v>
      </c>
      <c r="D30" s="22" t="s">
        <v>60</v>
      </c>
      <c r="E30" s="22" t="s">
        <v>55</v>
      </c>
      <c r="F30" s="22" t="s">
        <v>56</v>
      </c>
      <c r="G30" s="22">
        <v>0</v>
      </c>
    </row>
    <row r="31" spans="1:7" ht="57.6" customHeight="1">
      <c r="A31" s="23">
        <v>6880</v>
      </c>
      <c r="B31" s="24" t="s">
        <v>91</v>
      </c>
      <c r="C31" s="24" t="s">
        <v>65</v>
      </c>
      <c r="D31" s="24" t="s">
        <v>60</v>
      </c>
      <c r="E31" s="24" t="s">
        <v>55</v>
      </c>
      <c r="F31" s="24" t="s">
        <v>56</v>
      </c>
      <c r="G31" s="24">
        <v>0</v>
      </c>
    </row>
    <row r="32" spans="1:7" ht="43.2" customHeight="1">
      <c r="A32" s="21">
        <v>6889</v>
      </c>
      <c r="B32" s="22" t="s">
        <v>92</v>
      </c>
      <c r="C32" s="22" t="s">
        <v>67</v>
      </c>
      <c r="D32" s="22" t="s">
        <v>60</v>
      </c>
      <c r="E32" s="22" t="s">
        <v>55</v>
      </c>
      <c r="F32" s="22" t="s">
        <v>56</v>
      </c>
      <c r="G32" s="22">
        <v>0</v>
      </c>
    </row>
    <row r="33" spans="1:7" ht="43.2" customHeight="1">
      <c r="A33" s="23">
        <v>6891</v>
      </c>
      <c r="B33" s="24" t="s">
        <v>93</v>
      </c>
      <c r="C33" s="24" t="s">
        <v>67</v>
      </c>
      <c r="D33" s="24" t="s">
        <v>60</v>
      </c>
      <c r="E33" s="24" t="s">
        <v>55</v>
      </c>
      <c r="F33" s="24" t="s">
        <v>56</v>
      </c>
      <c r="G33" s="24">
        <v>0</v>
      </c>
    </row>
    <row r="34" spans="1:7" ht="43.2" customHeight="1">
      <c r="A34" s="23">
        <v>6886</v>
      </c>
      <c r="B34" s="24" t="s">
        <v>94</v>
      </c>
      <c r="C34" s="24" t="s">
        <v>67</v>
      </c>
      <c r="D34" s="24" t="s">
        <v>60</v>
      </c>
      <c r="E34" s="24" t="s">
        <v>55</v>
      </c>
      <c r="F34" s="24" t="s">
        <v>56</v>
      </c>
      <c r="G34" s="24">
        <v>0</v>
      </c>
    </row>
    <row r="35" spans="1:7" ht="43.2" customHeight="1">
      <c r="A35" s="23">
        <v>6725</v>
      </c>
      <c r="B35" s="24" t="s">
        <v>95</v>
      </c>
      <c r="C35" s="24" t="s">
        <v>53</v>
      </c>
      <c r="D35" s="24" t="s">
        <v>60</v>
      </c>
      <c r="E35" s="24" t="s">
        <v>55</v>
      </c>
      <c r="F35" s="24" t="s">
        <v>56</v>
      </c>
      <c r="G35" s="24">
        <v>0</v>
      </c>
    </row>
    <row r="36" spans="1:7" ht="43.2" customHeight="1">
      <c r="A36" s="21">
        <v>4309</v>
      </c>
      <c r="B36" s="22" t="s">
        <v>96</v>
      </c>
      <c r="C36" s="22" t="s">
        <v>53</v>
      </c>
      <c r="D36" s="22" t="s">
        <v>54</v>
      </c>
      <c r="E36" s="22" t="s">
        <v>55</v>
      </c>
      <c r="F36" s="22" t="s">
        <v>56</v>
      </c>
      <c r="G36" s="22">
        <v>0</v>
      </c>
    </row>
    <row r="37" spans="1:7" ht="43.2" customHeight="1">
      <c r="A37" s="21">
        <v>5013</v>
      </c>
      <c r="B37" s="22" t="s">
        <v>97</v>
      </c>
      <c r="C37" s="22" t="s">
        <v>56</v>
      </c>
      <c r="D37" s="22" t="s">
        <v>98</v>
      </c>
      <c r="E37" s="22" t="s">
        <v>55</v>
      </c>
      <c r="F37" s="22" t="s">
        <v>56</v>
      </c>
      <c r="G37" s="22">
        <v>0</v>
      </c>
    </row>
    <row r="38" spans="1:7" ht="43.2" customHeight="1">
      <c r="A38" s="21">
        <v>6421</v>
      </c>
      <c r="B38" s="22" t="s">
        <v>99</v>
      </c>
      <c r="C38" s="22" t="s">
        <v>53</v>
      </c>
      <c r="D38" s="22" t="s">
        <v>54</v>
      </c>
      <c r="E38" s="22" t="s">
        <v>55</v>
      </c>
      <c r="F38" s="22" t="s">
        <v>56</v>
      </c>
      <c r="G38" s="22">
        <v>0</v>
      </c>
    </row>
    <row r="39" spans="1:7" ht="43.2" customHeight="1">
      <c r="A39" s="21">
        <v>6726</v>
      </c>
      <c r="B39" s="22" t="s">
        <v>100</v>
      </c>
      <c r="C39" s="22" t="s">
        <v>53</v>
      </c>
      <c r="D39" s="22" t="s">
        <v>60</v>
      </c>
      <c r="E39" s="22" t="s">
        <v>55</v>
      </c>
      <c r="F39" s="22" t="s">
        <v>56</v>
      </c>
      <c r="G39" s="22">
        <v>0</v>
      </c>
    </row>
    <row r="40" spans="1:7" ht="43.2" customHeight="1">
      <c r="A40" s="21">
        <v>6728</v>
      </c>
      <c r="B40" s="22" t="s">
        <v>101</v>
      </c>
      <c r="C40" s="22" t="s">
        <v>53</v>
      </c>
      <c r="D40" s="22" t="s">
        <v>60</v>
      </c>
      <c r="E40" s="22" t="s">
        <v>55</v>
      </c>
      <c r="F40" s="22" t="s">
        <v>56</v>
      </c>
      <c r="G40" s="22">
        <v>0</v>
      </c>
    </row>
    <row r="41" spans="1:7" ht="43.2" customHeight="1">
      <c r="A41" s="23">
        <v>6727</v>
      </c>
      <c r="B41" s="24" t="s">
        <v>102</v>
      </c>
      <c r="C41" s="24" t="s">
        <v>53</v>
      </c>
      <c r="D41" s="24" t="s">
        <v>60</v>
      </c>
      <c r="E41" s="24" t="s">
        <v>55</v>
      </c>
      <c r="F41" s="24" t="s">
        <v>56</v>
      </c>
      <c r="G41" s="24">
        <v>0</v>
      </c>
    </row>
    <row r="42" spans="1:7" ht="43.2" customHeight="1">
      <c r="A42" s="23">
        <v>6315</v>
      </c>
      <c r="B42" s="24" t="s">
        <v>103</v>
      </c>
      <c r="C42" s="24" t="s">
        <v>53</v>
      </c>
      <c r="D42" s="24" t="s">
        <v>60</v>
      </c>
      <c r="E42" s="24" t="s">
        <v>55</v>
      </c>
      <c r="F42" s="24" t="s">
        <v>56</v>
      </c>
      <c r="G42" s="24">
        <v>0</v>
      </c>
    </row>
    <row r="43" spans="1:7" ht="43.2" customHeight="1">
      <c r="A43" s="23">
        <v>5712</v>
      </c>
      <c r="B43" s="24" t="s">
        <v>104</v>
      </c>
      <c r="C43" s="24" t="s">
        <v>53</v>
      </c>
      <c r="D43" s="24" t="s">
        <v>54</v>
      </c>
      <c r="E43" s="24" t="s">
        <v>55</v>
      </c>
      <c r="F43" s="24" t="s">
        <v>56</v>
      </c>
      <c r="G43" s="24">
        <v>0</v>
      </c>
    </row>
    <row r="44" spans="1:7" ht="43.2" customHeight="1">
      <c r="A44" s="21">
        <v>5716</v>
      </c>
      <c r="B44" s="22" t="s">
        <v>105</v>
      </c>
      <c r="C44" s="22" t="s">
        <v>56</v>
      </c>
      <c r="D44" s="22" t="s">
        <v>54</v>
      </c>
      <c r="E44" s="22" t="s">
        <v>70</v>
      </c>
      <c r="F44" s="22" t="s">
        <v>56</v>
      </c>
      <c r="G44" s="22">
        <v>0</v>
      </c>
    </row>
    <row r="45" spans="1:7" ht="43.2" customHeight="1">
      <c r="A45" s="21">
        <v>5723</v>
      </c>
      <c r="B45" s="22" t="s">
        <v>106</v>
      </c>
      <c r="C45" s="22" t="s">
        <v>56</v>
      </c>
      <c r="D45" s="22" t="s">
        <v>60</v>
      </c>
      <c r="E45" s="22" t="s">
        <v>70</v>
      </c>
      <c r="F45" s="22" t="s">
        <v>56</v>
      </c>
      <c r="G45" s="22">
        <v>0</v>
      </c>
    </row>
    <row r="46" spans="1:7" ht="43.2" customHeight="1">
      <c r="A46" s="23">
        <v>6738</v>
      </c>
      <c r="B46" s="24" t="s">
        <v>107</v>
      </c>
      <c r="C46" s="24" t="s">
        <v>53</v>
      </c>
      <c r="D46" s="24" t="s">
        <v>60</v>
      </c>
      <c r="E46" s="24" t="s">
        <v>55</v>
      </c>
      <c r="F46" s="24" t="s">
        <v>56</v>
      </c>
      <c r="G46" s="24">
        <v>0</v>
      </c>
    </row>
    <row r="47" spans="1:7" ht="43.2" customHeight="1">
      <c r="A47" s="23">
        <v>6722</v>
      </c>
      <c r="B47" s="24" t="s">
        <v>108</v>
      </c>
      <c r="C47" s="24" t="s">
        <v>53</v>
      </c>
      <c r="D47" s="24" t="s">
        <v>60</v>
      </c>
      <c r="E47" s="24" t="s">
        <v>55</v>
      </c>
      <c r="F47" s="24" t="s">
        <v>56</v>
      </c>
      <c r="G47" s="24">
        <v>0</v>
      </c>
    </row>
    <row r="48" spans="1:7" ht="43.2" customHeight="1">
      <c r="A48" s="21">
        <v>6717</v>
      </c>
      <c r="B48" s="22" t="s">
        <v>109</v>
      </c>
      <c r="C48" s="22" t="s">
        <v>53</v>
      </c>
      <c r="D48" s="22" t="s">
        <v>54</v>
      </c>
      <c r="E48" s="22" t="s">
        <v>55</v>
      </c>
      <c r="F48" s="22" t="s">
        <v>56</v>
      </c>
      <c r="G48" s="22">
        <v>0</v>
      </c>
    </row>
    <row r="49" spans="1:7" ht="43.2" customHeight="1">
      <c r="A49" s="21">
        <v>6902</v>
      </c>
      <c r="B49" s="22" t="s">
        <v>110</v>
      </c>
      <c r="C49" s="22" t="s">
        <v>53</v>
      </c>
      <c r="D49" s="22" t="s">
        <v>60</v>
      </c>
      <c r="E49" s="22" t="s">
        <v>55</v>
      </c>
      <c r="F49" s="22" t="s">
        <v>56</v>
      </c>
      <c r="G49" s="22">
        <v>0</v>
      </c>
    </row>
    <row r="50" spans="1:7" ht="43.2" customHeight="1">
      <c r="A50" s="23">
        <v>6899</v>
      </c>
      <c r="B50" s="24" t="s">
        <v>111</v>
      </c>
      <c r="C50" s="24" t="s">
        <v>53</v>
      </c>
      <c r="D50" s="24" t="s">
        <v>60</v>
      </c>
      <c r="E50" s="24" t="s">
        <v>55</v>
      </c>
      <c r="F50" s="24" t="s">
        <v>56</v>
      </c>
      <c r="G50" s="24">
        <v>0</v>
      </c>
    </row>
    <row r="51" spans="1:7" ht="43.2" customHeight="1">
      <c r="A51" s="23">
        <v>2667</v>
      </c>
      <c r="B51" s="24" t="s">
        <v>112</v>
      </c>
      <c r="C51" s="24" t="s">
        <v>53</v>
      </c>
      <c r="D51" s="24" t="s">
        <v>54</v>
      </c>
      <c r="E51" s="24" t="s">
        <v>55</v>
      </c>
      <c r="F51" s="24" t="s">
        <v>56</v>
      </c>
      <c r="G51" s="24">
        <v>0</v>
      </c>
    </row>
    <row r="52" spans="1:7" ht="43.2" customHeight="1">
      <c r="A52" s="21">
        <v>2672</v>
      </c>
      <c r="B52" s="22" t="s">
        <v>113</v>
      </c>
      <c r="C52" s="22" t="s">
        <v>53</v>
      </c>
      <c r="D52" s="22" t="s">
        <v>60</v>
      </c>
      <c r="E52" s="22" t="s">
        <v>55</v>
      </c>
      <c r="F52" s="22" t="s">
        <v>56</v>
      </c>
      <c r="G52" s="22">
        <v>0</v>
      </c>
    </row>
    <row r="53" spans="1:7" ht="43.2" customHeight="1">
      <c r="A53" s="23">
        <v>4750</v>
      </c>
      <c r="B53" s="24" t="s">
        <v>114</v>
      </c>
      <c r="C53" s="24" t="s">
        <v>56</v>
      </c>
      <c r="D53" s="24" t="s">
        <v>54</v>
      </c>
      <c r="E53" s="24" t="s">
        <v>70</v>
      </c>
      <c r="F53" s="24" t="s">
        <v>56</v>
      </c>
      <c r="G53" s="24">
        <v>0</v>
      </c>
    </row>
    <row r="54" spans="1:7" ht="43.2" customHeight="1">
      <c r="A54" s="23">
        <v>5275</v>
      </c>
      <c r="B54" s="24" t="s">
        <v>115</v>
      </c>
      <c r="C54" s="24" t="s">
        <v>56</v>
      </c>
      <c r="D54" s="24" t="s">
        <v>60</v>
      </c>
      <c r="E54" s="24" t="s">
        <v>70</v>
      </c>
      <c r="F54" s="24" t="s">
        <v>56</v>
      </c>
      <c r="G54" s="24">
        <v>0</v>
      </c>
    </row>
    <row r="55" spans="1:7" ht="43.2" customHeight="1">
      <c r="A55" s="21">
        <v>5274</v>
      </c>
      <c r="B55" s="22" t="s">
        <v>116</v>
      </c>
      <c r="C55" s="22" t="s">
        <v>53</v>
      </c>
      <c r="D55" s="22" t="s">
        <v>54</v>
      </c>
      <c r="E55" s="22" t="s">
        <v>70</v>
      </c>
      <c r="F55" s="22" t="s">
        <v>56</v>
      </c>
      <c r="G55" s="22">
        <v>0</v>
      </c>
    </row>
    <row r="56" spans="1:7" ht="43.2" customHeight="1">
      <c r="A56" s="23">
        <v>5683</v>
      </c>
      <c r="B56" s="24" t="s">
        <v>117</v>
      </c>
      <c r="C56" s="24" t="s">
        <v>53</v>
      </c>
      <c r="D56" s="24" t="s">
        <v>54</v>
      </c>
      <c r="E56" s="24" t="s">
        <v>55</v>
      </c>
      <c r="F56" s="24" t="s">
        <v>56</v>
      </c>
      <c r="G56" s="24">
        <v>0</v>
      </c>
    </row>
    <row r="57" spans="1:7" ht="43.2" customHeight="1">
      <c r="A57" s="21">
        <v>5685</v>
      </c>
      <c r="B57" s="22" t="s">
        <v>118</v>
      </c>
      <c r="C57" s="22" t="s">
        <v>56</v>
      </c>
      <c r="D57" s="22" t="s">
        <v>60</v>
      </c>
      <c r="E57" s="22" t="s">
        <v>70</v>
      </c>
      <c r="F57" s="22" t="s">
        <v>56</v>
      </c>
      <c r="G57" s="22">
        <v>0</v>
      </c>
    </row>
    <row r="58" spans="1:7" ht="43.2" customHeight="1">
      <c r="A58" s="23">
        <v>5688</v>
      </c>
      <c r="B58" s="24" t="s">
        <v>119</v>
      </c>
      <c r="C58" s="24" t="s">
        <v>56</v>
      </c>
      <c r="D58" s="24" t="s">
        <v>60</v>
      </c>
      <c r="E58" s="24" t="s">
        <v>70</v>
      </c>
      <c r="F58" s="24" t="s">
        <v>56</v>
      </c>
      <c r="G58" s="24">
        <v>0</v>
      </c>
    </row>
    <row r="59" spans="1:7" ht="43.2" customHeight="1">
      <c r="A59" s="21">
        <v>6319</v>
      </c>
      <c r="B59" s="22" t="s">
        <v>120</v>
      </c>
      <c r="C59" s="22" t="s">
        <v>121</v>
      </c>
      <c r="D59" s="22" t="s">
        <v>60</v>
      </c>
      <c r="E59" s="22" t="s">
        <v>70</v>
      </c>
      <c r="F59" s="22" t="s">
        <v>56</v>
      </c>
      <c r="G59" s="22">
        <v>0</v>
      </c>
    </row>
    <row r="60" spans="1:7" ht="43.2" customHeight="1">
      <c r="A60" s="23">
        <v>6318</v>
      </c>
      <c r="B60" s="24" t="s">
        <v>122</v>
      </c>
      <c r="C60" s="24" t="s">
        <v>53</v>
      </c>
      <c r="D60" s="24" t="s">
        <v>60</v>
      </c>
      <c r="E60" s="24" t="s">
        <v>70</v>
      </c>
      <c r="F60" s="24" t="s">
        <v>56</v>
      </c>
      <c r="G60" s="24">
        <v>0</v>
      </c>
    </row>
    <row r="61" spans="1:7" ht="43.2" customHeight="1">
      <c r="A61" s="23">
        <v>6317</v>
      </c>
      <c r="B61" s="24" t="s">
        <v>123</v>
      </c>
      <c r="C61" s="24" t="s">
        <v>121</v>
      </c>
      <c r="D61" s="24" t="s">
        <v>60</v>
      </c>
      <c r="E61" s="24" t="s">
        <v>55</v>
      </c>
      <c r="F61" s="24" t="s">
        <v>56</v>
      </c>
      <c r="G61" s="24">
        <v>0</v>
      </c>
    </row>
    <row r="62" spans="1:7" ht="43.2" customHeight="1">
      <c r="A62" s="21">
        <v>7162</v>
      </c>
      <c r="B62" s="22" t="s">
        <v>124</v>
      </c>
      <c r="C62" s="22" t="s">
        <v>53</v>
      </c>
      <c r="D62" s="22" t="s">
        <v>60</v>
      </c>
      <c r="E62" s="22" t="s">
        <v>55</v>
      </c>
      <c r="F62" s="22" t="s">
        <v>56</v>
      </c>
      <c r="G62" s="22">
        <v>0</v>
      </c>
    </row>
    <row r="63" spans="1:7" ht="43.2" customHeight="1">
      <c r="A63" s="21">
        <v>5190</v>
      </c>
      <c r="B63" s="22" t="s">
        <v>125</v>
      </c>
      <c r="C63" s="22" t="s">
        <v>53</v>
      </c>
      <c r="D63" s="22" t="s">
        <v>54</v>
      </c>
      <c r="E63" s="22" t="s">
        <v>55</v>
      </c>
      <c r="F63" s="22" t="s">
        <v>56</v>
      </c>
      <c r="G63" s="22">
        <v>0</v>
      </c>
    </row>
    <row r="64" spans="1:7" ht="43.2" customHeight="1">
      <c r="A64" s="21">
        <v>5654</v>
      </c>
      <c r="B64" s="22" t="s">
        <v>126</v>
      </c>
      <c r="C64" s="22" t="s">
        <v>53</v>
      </c>
      <c r="D64" s="22" t="s">
        <v>60</v>
      </c>
      <c r="E64" s="22" t="s">
        <v>55</v>
      </c>
      <c r="F64" s="22" t="s">
        <v>56</v>
      </c>
      <c r="G64" s="22">
        <v>0</v>
      </c>
    </row>
    <row r="65" spans="1:7" ht="43.2" customHeight="1">
      <c r="A65" s="21">
        <v>6772</v>
      </c>
      <c r="B65" s="22" t="s">
        <v>127</v>
      </c>
      <c r="C65" s="22" t="s">
        <v>53</v>
      </c>
      <c r="D65" s="22" t="s">
        <v>60</v>
      </c>
      <c r="E65" s="22" t="s">
        <v>55</v>
      </c>
      <c r="F65" s="22" t="s">
        <v>56</v>
      </c>
      <c r="G65" s="22">
        <v>0</v>
      </c>
    </row>
    <row r="66" spans="1:7" ht="43.2" customHeight="1">
      <c r="A66" s="23">
        <v>6867</v>
      </c>
      <c r="B66" s="24" t="s">
        <v>128</v>
      </c>
      <c r="C66" s="24" t="s">
        <v>53</v>
      </c>
      <c r="D66" s="24" t="s">
        <v>60</v>
      </c>
      <c r="E66" s="24" t="s">
        <v>55</v>
      </c>
      <c r="F66" s="24" t="s">
        <v>56</v>
      </c>
      <c r="G66" s="24">
        <v>0</v>
      </c>
    </row>
    <row r="67" spans="1:7" ht="43.2" customHeight="1">
      <c r="A67" s="21">
        <v>6311</v>
      </c>
      <c r="B67" s="22" t="s">
        <v>129</v>
      </c>
      <c r="C67" s="22" t="s">
        <v>53</v>
      </c>
      <c r="D67" s="22" t="s">
        <v>60</v>
      </c>
      <c r="E67" s="22" t="s">
        <v>70</v>
      </c>
      <c r="F67" s="22" t="s">
        <v>56</v>
      </c>
      <c r="G67" s="22">
        <v>0</v>
      </c>
    </row>
    <row r="68" spans="1:7" ht="43.2" customHeight="1">
      <c r="A68" s="23">
        <v>6419</v>
      </c>
      <c r="B68" s="24" t="s">
        <v>130</v>
      </c>
      <c r="C68" s="24" t="s">
        <v>53</v>
      </c>
      <c r="D68" s="24" t="s">
        <v>60</v>
      </c>
      <c r="E68" s="24" t="s">
        <v>70</v>
      </c>
      <c r="F68" s="24" t="s">
        <v>56</v>
      </c>
      <c r="G68" s="24">
        <v>0</v>
      </c>
    </row>
    <row r="69" spans="1:7" ht="43.2" customHeight="1">
      <c r="A69" s="23">
        <v>6420</v>
      </c>
      <c r="B69" s="24" t="s">
        <v>131</v>
      </c>
      <c r="C69" s="24" t="s">
        <v>53</v>
      </c>
      <c r="D69" s="24" t="s">
        <v>98</v>
      </c>
      <c r="E69" s="24" t="s">
        <v>70</v>
      </c>
      <c r="F69" s="24" t="s">
        <v>56</v>
      </c>
      <c r="G69" s="24">
        <v>0</v>
      </c>
    </row>
    <row r="70" spans="1:7" ht="43.2" customHeight="1">
      <c r="A70" s="21">
        <v>6316</v>
      </c>
      <c r="B70" s="22" t="s">
        <v>132</v>
      </c>
      <c r="C70" s="22" t="s">
        <v>53</v>
      </c>
      <c r="D70" s="22" t="s">
        <v>60</v>
      </c>
      <c r="E70" s="22" t="s">
        <v>70</v>
      </c>
      <c r="F70" s="22" t="s">
        <v>56</v>
      </c>
      <c r="G70" s="22">
        <v>0</v>
      </c>
    </row>
    <row r="71" spans="1:7" ht="43.2" customHeight="1">
      <c r="A71" s="23">
        <v>6314</v>
      </c>
      <c r="B71" s="24" t="s">
        <v>133</v>
      </c>
      <c r="C71" s="24" t="s">
        <v>53</v>
      </c>
      <c r="D71" s="24" t="s">
        <v>60</v>
      </c>
      <c r="E71" s="24" t="s">
        <v>70</v>
      </c>
      <c r="F71" s="24" t="s">
        <v>56</v>
      </c>
      <c r="G71" s="24">
        <v>0</v>
      </c>
    </row>
    <row r="72" spans="1:7" ht="43.2" customHeight="1">
      <c r="A72" s="21">
        <v>6313</v>
      </c>
      <c r="B72" s="22" t="s">
        <v>134</v>
      </c>
      <c r="C72" s="22" t="s">
        <v>53</v>
      </c>
      <c r="D72" s="22" t="s">
        <v>60</v>
      </c>
      <c r="E72" s="22" t="s">
        <v>70</v>
      </c>
      <c r="F72" s="22" t="s">
        <v>56</v>
      </c>
      <c r="G72" s="22">
        <v>0</v>
      </c>
    </row>
    <row r="73" spans="1:7" ht="43.2" customHeight="1">
      <c r="A73" s="23">
        <v>6312</v>
      </c>
      <c r="B73" s="24" t="s">
        <v>135</v>
      </c>
      <c r="C73" s="24" t="s">
        <v>53</v>
      </c>
      <c r="D73" s="24" t="s">
        <v>60</v>
      </c>
      <c r="E73" s="24" t="s">
        <v>70</v>
      </c>
      <c r="F73" s="24" t="s">
        <v>56</v>
      </c>
      <c r="G73" s="24">
        <v>0</v>
      </c>
    </row>
    <row r="74" spans="1:7" ht="43.2" customHeight="1">
      <c r="A74" s="23">
        <v>5666</v>
      </c>
      <c r="B74" s="24" t="s">
        <v>136</v>
      </c>
      <c r="C74" s="24" t="s">
        <v>137</v>
      </c>
      <c r="D74" s="24" t="s">
        <v>54</v>
      </c>
      <c r="E74" s="24" t="s">
        <v>70</v>
      </c>
      <c r="F74" s="24" t="s">
        <v>56</v>
      </c>
      <c r="G74" s="24">
        <v>0</v>
      </c>
    </row>
    <row r="75" spans="1:7" ht="43.2" customHeight="1">
      <c r="A75" s="21">
        <v>5668</v>
      </c>
      <c r="B75" s="22" t="s">
        <v>138</v>
      </c>
      <c r="C75" s="22" t="s">
        <v>137</v>
      </c>
      <c r="D75" s="22" t="s">
        <v>54</v>
      </c>
      <c r="E75" s="22" t="s">
        <v>70</v>
      </c>
      <c r="F75" s="22" t="s">
        <v>56</v>
      </c>
      <c r="G75" s="22">
        <v>0</v>
      </c>
    </row>
    <row r="76" spans="1:7" ht="57.6" customHeight="1">
      <c r="A76" s="21">
        <v>5663</v>
      </c>
      <c r="B76" s="22" t="s">
        <v>139</v>
      </c>
      <c r="C76" s="22" t="s">
        <v>140</v>
      </c>
      <c r="D76" s="22" t="s">
        <v>54</v>
      </c>
      <c r="E76" s="22" t="s">
        <v>70</v>
      </c>
      <c r="F76" s="22" t="s">
        <v>56</v>
      </c>
      <c r="G76" s="22">
        <v>0</v>
      </c>
    </row>
    <row r="77" spans="1:7" ht="43.2" customHeight="1">
      <c r="A77" s="23">
        <v>5589</v>
      </c>
      <c r="B77" s="24" t="s">
        <v>141</v>
      </c>
      <c r="C77" s="24" t="s">
        <v>53</v>
      </c>
      <c r="D77" s="24" t="s">
        <v>54</v>
      </c>
      <c r="E77" s="24" t="s">
        <v>70</v>
      </c>
      <c r="F77" s="24" t="s">
        <v>56</v>
      </c>
      <c r="G77" s="24">
        <v>0</v>
      </c>
    </row>
    <row r="78" spans="1:7" ht="43.2" customHeight="1">
      <c r="A78" s="21">
        <v>5518</v>
      </c>
      <c r="B78" s="22" t="s">
        <v>142</v>
      </c>
      <c r="C78" s="22" t="s">
        <v>53</v>
      </c>
      <c r="D78" s="22" t="s">
        <v>54</v>
      </c>
      <c r="E78" s="22" t="s">
        <v>70</v>
      </c>
      <c r="F78" s="22" t="s">
        <v>143</v>
      </c>
      <c r="G78" s="22">
        <v>0</v>
      </c>
    </row>
    <row r="79" spans="1:7" ht="43.2" customHeight="1">
      <c r="A79" s="23">
        <v>6766</v>
      </c>
      <c r="B79" s="24" t="s">
        <v>144</v>
      </c>
      <c r="C79" s="24" t="s">
        <v>53</v>
      </c>
      <c r="D79" s="24" t="s">
        <v>60</v>
      </c>
      <c r="E79" s="24" t="s">
        <v>55</v>
      </c>
      <c r="F79" s="24" t="s">
        <v>56</v>
      </c>
      <c r="G79" s="24">
        <v>0</v>
      </c>
    </row>
    <row r="80" spans="1:7" ht="43.2" customHeight="1">
      <c r="A80" s="21">
        <v>6221</v>
      </c>
      <c r="B80" s="22" t="s">
        <v>145</v>
      </c>
      <c r="C80" s="22" t="s">
        <v>53</v>
      </c>
      <c r="D80" s="22" t="s">
        <v>54</v>
      </c>
      <c r="E80" s="22" t="s">
        <v>70</v>
      </c>
      <c r="F80" s="22" t="s">
        <v>56</v>
      </c>
      <c r="G80" s="22">
        <v>0</v>
      </c>
    </row>
    <row r="81" spans="1:7" ht="43.2" customHeight="1">
      <c r="A81" s="23">
        <v>7150</v>
      </c>
      <c r="B81" s="24" t="s">
        <v>146</v>
      </c>
      <c r="C81" s="24" t="s">
        <v>53</v>
      </c>
      <c r="D81" s="24" t="s">
        <v>54</v>
      </c>
      <c r="E81" s="24" t="s">
        <v>55</v>
      </c>
      <c r="F81" s="24" t="s">
        <v>56</v>
      </c>
      <c r="G81" s="24">
        <v>0</v>
      </c>
    </row>
    <row r="82" spans="1:7" ht="43.2" customHeight="1">
      <c r="A82" s="23">
        <v>2700</v>
      </c>
      <c r="B82" s="24" t="s">
        <v>147</v>
      </c>
      <c r="C82" s="24" t="s">
        <v>56</v>
      </c>
      <c r="D82" s="24" t="s">
        <v>60</v>
      </c>
      <c r="E82" s="24" t="s">
        <v>70</v>
      </c>
      <c r="F82" s="24" t="s">
        <v>56</v>
      </c>
      <c r="G82" s="24">
        <v>0</v>
      </c>
    </row>
    <row r="83" spans="1:7" ht="43.2" customHeight="1">
      <c r="A83" s="21">
        <v>2664</v>
      </c>
      <c r="B83" s="22" t="s">
        <v>148</v>
      </c>
      <c r="C83" s="22" t="s">
        <v>53</v>
      </c>
      <c r="D83" s="22" t="s">
        <v>54</v>
      </c>
      <c r="E83" s="22" t="s">
        <v>55</v>
      </c>
      <c r="F83" s="22" t="s">
        <v>56</v>
      </c>
      <c r="G83" s="22">
        <v>0</v>
      </c>
    </row>
    <row r="84" spans="1:7" ht="43.2" customHeight="1">
      <c r="A84" s="21">
        <v>2665</v>
      </c>
      <c r="B84" s="22" t="s">
        <v>149</v>
      </c>
      <c r="C84" s="22" t="s">
        <v>56</v>
      </c>
      <c r="D84" s="22" t="s">
        <v>60</v>
      </c>
      <c r="E84" s="22" t="s">
        <v>70</v>
      </c>
      <c r="F84" s="22" t="s">
        <v>56</v>
      </c>
      <c r="G84" s="22">
        <v>0</v>
      </c>
    </row>
    <row r="85" spans="1:7" ht="43.2" customHeight="1">
      <c r="A85" s="23">
        <v>2699</v>
      </c>
      <c r="B85" s="24" t="s">
        <v>150</v>
      </c>
      <c r="C85" s="24" t="s">
        <v>53</v>
      </c>
      <c r="D85" s="24" t="s">
        <v>54</v>
      </c>
      <c r="E85" s="24" t="s">
        <v>70</v>
      </c>
      <c r="F85" s="24" t="s">
        <v>143</v>
      </c>
      <c r="G85" s="24">
        <v>0</v>
      </c>
    </row>
    <row r="86" spans="1:7" ht="43.2" customHeight="1">
      <c r="A86" s="23">
        <v>6425</v>
      </c>
      <c r="B86" s="24" t="s">
        <v>151</v>
      </c>
      <c r="C86" s="24" t="s">
        <v>53</v>
      </c>
      <c r="D86" s="24" t="s">
        <v>54</v>
      </c>
      <c r="E86" s="24" t="s">
        <v>70</v>
      </c>
      <c r="F86" s="24" t="s">
        <v>56</v>
      </c>
      <c r="G86" s="24">
        <v>0</v>
      </c>
    </row>
    <row r="87" spans="1:7" ht="43.2" customHeight="1">
      <c r="A87" s="21">
        <v>6422</v>
      </c>
      <c r="B87" s="22" t="s">
        <v>152</v>
      </c>
      <c r="C87" s="22" t="s">
        <v>53</v>
      </c>
      <c r="D87" s="22" t="s">
        <v>54</v>
      </c>
      <c r="E87" s="22" t="s">
        <v>70</v>
      </c>
      <c r="F87" s="22" t="s">
        <v>56</v>
      </c>
      <c r="G87" s="22">
        <v>0</v>
      </c>
    </row>
    <row r="88" spans="1:7" ht="43.2" customHeight="1">
      <c r="A88" s="21">
        <v>6424</v>
      </c>
      <c r="B88" s="22" t="s">
        <v>153</v>
      </c>
      <c r="C88" s="22" t="s">
        <v>53</v>
      </c>
      <c r="D88" s="22" t="s">
        <v>60</v>
      </c>
      <c r="E88" s="22" t="s">
        <v>70</v>
      </c>
      <c r="F88" s="22" t="s">
        <v>56</v>
      </c>
      <c r="G88" s="22">
        <v>0</v>
      </c>
    </row>
    <row r="89" spans="1:7" ht="43.2" customHeight="1">
      <c r="A89" s="21">
        <v>6423</v>
      </c>
      <c r="B89" s="22" t="s">
        <v>154</v>
      </c>
      <c r="C89" s="22" t="s">
        <v>53</v>
      </c>
      <c r="D89" s="22" t="s">
        <v>54</v>
      </c>
      <c r="E89" s="22" t="s">
        <v>70</v>
      </c>
      <c r="F89" s="22" t="s">
        <v>56</v>
      </c>
      <c r="G89" s="22">
        <v>0</v>
      </c>
    </row>
    <row r="90" spans="1:7" ht="43.2" customHeight="1">
      <c r="A90" s="23">
        <v>6426</v>
      </c>
      <c r="B90" s="24" t="s">
        <v>155</v>
      </c>
      <c r="C90" s="24" t="s">
        <v>53</v>
      </c>
      <c r="D90" s="24" t="s">
        <v>60</v>
      </c>
      <c r="E90" s="24" t="s">
        <v>70</v>
      </c>
      <c r="F90" s="24" t="s">
        <v>56</v>
      </c>
      <c r="G90" s="24">
        <v>0</v>
      </c>
    </row>
    <row r="91" spans="1:7" ht="43.2" customHeight="1">
      <c r="A91" s="21">
        <v>6878</v>
      </c>
      <c r="B91" s="22" t="s">
        <v>156</v>
      </c>
      <c r="C91" s="22" t="s">
        <v>53</v>
      </c>
      <c r="D91" s="22" t="s">
        <v>60</v>
      </c>
      <c r="E91" s="22" t="s">
        <v>55</v>
      </c>
      <c r="F91" s="22" t="s">
        <v>56</v>
      </c>
      <c r="G91" s="22">
        <v>0</v>
      </c>
    </row>
    <row r="92" spans="1:7" ht="43.2" customHeight="1">
      <c r="A92" s="21">
        <v>6763</v>
      </c>
      <c r="B92" s="22" t="s">
        <v>157</v>
      </c>
      <c r="C92" s="22" t="s">
        <v>53</v>
      </c>
      <c r="D92" s="22" t="s">
        <v>60</v>
      </c>
      <c r="E92" s="22" t="s">
        <v>55</v>
      </c>
      <c r="F92" s="22" t="s">
        <v>56</v>
      </c>
      <c r="G92" s="22">
        <v>0</v>
      </c>
    </row>
    <row r="93" spans="1:7" ht="43.2" customHeight="1">
      <c r="A93" s="23">
        <v>7128</v>
      </c>
      <c r="B93" s="24" t="s">
        <v>158</v>
      </c>
      <c r="C93" s="24" t="s">
        <v>53</v>
      </c>
      <c r="D93" s="24" t="s">
        <v>60</v>
      </c>
      <c r="E93" s="24" t="s">
        <v>55</v>
      </c>
      <c r="F93" s="24" t="s">
        <v>56</v>
      </c>
      <c r="G93" s="24">
        <v>0</v>
      </c>
    </row>
    <row r="94" spans="1:7" ht="43.2" customHeight="1">
      <c r="A94" s="21">
        <v>7129</v>
      </c>
      <c r="B94" s="22" t="s">
        <v>159</v>
      </c>
      <c r="C94" s="22" t="s">
        <v>53</v>
      </c>
      <c r="D94" s="22" t="s">
        <v>60</v>
      </c>
      <c r="E94" s="22" t="s">
        <v>55</v>
      </c>
      <c r="F94" s="22" t="s">
        <v>56</v>
      </c>
      <c r="G94" s="22">
        <v>0</v>
      </c>
    </row>
    <row r="95" spans="1:7" ht="43.2" customHeight="1">
      <c r="A95" s="23">
        <v>6877</v>
      </c>
      <c r="B95" s="24" t="s">
        <v>160</v>
      </c>
      <c r="C95" s="24" t="s">
        <v>53</v>
      </c>
      <c r="D95" s="24" t="s">
        <v>60</v>
      </c>
      <c r="E95" s="24" t="s">
        <v>55</v>
      </c>
      <c r="F95" s="24" t="s">
        <v>56</v>
      </c>
      <c r="G95" s="24">
        <v>0</v>
      </c>
    </row>
    <row r="96" spans="1:7" ht="43.2" customHeight="1">
      <c r="A96" s="21">
        <v>7127</v>
      </c>
      <c r="B96" s="22" t="s">
        <v>161</v>
      </c>
      <c r="C96" s="22" t="s">
        <v>53</v>
      </c>
      <c r="D96" s="22" t="s">
        <v>60</v>
      </c>
      <c r="E96" s="22" t="s">
        <v>55</v>
      </c>
      <c r="F96" s="22" t="s">
        <v>56</v>
      </c>
      <c r="G96" s="22">
        <v>0</v>
      </c>
    </row>
    <row r="97" spans="1:7" ht="43.2" customHeight="1">
      <c r="A97" s="23">
        <v>7173</v>
      </c>
      <c r="B97" s="24" t="s">
        <v>162</v>
      </c>
      <c r="C97" s="24" t="s">
        <v>69</v>
      </c>
      <c r="D97" s="24" t="s">
        <v>60</v>
      </c>
      <c r="E97" s="24" t="s">
        <v>55</v>
      </c>
      <c r="F97" s="24" t="s">
        <v>56</v>
      </c>
      <c r="G97" s="24">
        <v>0</v>
      </c>
    </row>
    <row r="98" spans="1:7" ht="43.2" customHeight="1">
      <c r="A98" s="21">
        <v>7174</v>
      </c>
      <c r="B98" s="22" t="s">
        <v>163</v>
      </c>
      <c r="C98" s="22" t="s">
        <v>69</v>
      </c>
      <c r="D98" s="22" t="s">
        <v>60</v>
      </c>
      <c r="E98" s="22" t="s">
        <v>55</v>
      </c>
      <c r="F98" s="22" t="s">
        <v>56</v>
      </c>
      <c r="G98" s="22">
        <v>0</v>
      </c>
    </row>
  </sheetData>
  <autoFilter ref="A1:G98">
    <sortState ref="A2:G98">
      <sortCondition ref="B1"/>
    </sortState>
  </autoFilter>
  <hyperlinks>
    <hyperlink ref="A2" r:id="rId1" display="7130"/>
    <hyperlink ref="A3" r:id="rId2" display="6900"/>
    <hyperlink ref="A4" r:id="rId3" display="6737"/>
    <hyperlink ref="A5" r:id="rId4" display="6866"/>
    <hyperlink ref="A6" r:id="rId5" display="6865"/>
    <hyperlink ref="A7" r:id="rId6" display="6736"/>
    <hyperlink ref="A8" r:id="rId7" display="6904"/>
    <hyperlink ref="A9" r:id="rId8" display="7163"/>
    <hyperlink ref="A10" r:id="rId9" display="7179"/>
    <hyperlink ref="A11" r:id="rId10" display="7164"/>
    <hyperlink ref="A12" r:id="rId11" display="7165"/>
    <hyperlink ref="A13" r:id="rId12" display="6947"/>
    <hyperlink ref="A14" r:id="rId13" display="6773"/>
    <hyperlink ref="A15" r:id="rId14" display="7172"/>
    <hyperlink ref="A16" r:id="rId15" display="6874"/>
    <hyperlink ref="A17" r:id="rId16" display="6869"/>
    <hyperlink ref="A18" r:id="rId17" display="6868"/>
    <hyperlink ref="A19" r:id="rId18" display="6876"/>
    <hyperlink ref="A20" r:id="rId19" display="6871"/>
    <hyperlink ref="A21" r:id="rId20" display="6872"/>
    <hyperlink ref="A22" r:id="rId21" display="6767"/>
    <hyperlink ref="A23" r:id="rId22" display="6944"/>
    <hyperlink ref="A24" r:id="rId23" display="6824"/>
    <hyperlink ref="A25" r:id="rId24" display="7158"/>
    <hyperlink ref="A26" r:id="rId25" display="6764"/>
    <hyperlink ref="A27" r:id="rId26" display="7131"/>
    <hyperlink ref="A28" r:id="rId27" display="6997"/>
    <hyperlink ref="A29" r:id="rId28" display="6768"/>
    <hyperlink ref="A30" r:id="rId29" display="6782"/>
    <hyperlink ref="A31" r:id="rId30" display="6880"/>
    <hyperlink ref="A32" r:id="rId31" display="6889"/>
    <hyperlink ref="A33" r:id="rId32" display="6891"/>
    <hyperlink ref="A34" r:id="rId33" display="6886"/>
    <hyperlink ref="A35" r:id="rId34" display="6725"/>
    <hyperlink ref="A36" r:id="rId35" display="4309"/>
    <hyperlink ref="A37" r:id="rId36" display="5013"/>
    <hyperlink ref="A38" r:id="rId37" display="6421"/>
    <hyperlink ref="A39" r:id="rId38" display="6726"/>
    <hyperlink ref="A40" r:id="rId39" display="6728"/>
    <hyperlink ref="A41" r:id="rId40" display="6727"/>
    <hyperlink ref="A42" r:id="rId41" display="6315"/>
    <hyperlink ref="A43" r:id="rId42" display="5712"/>
    <hyperlink ref="A44" r:id="rId43" display="5716"/>
    <hyperlink ref="A45" r:id="rId44" display="5723"/>
    <hyperlink ref="A46" r:id="rId45" display="6738"/>
    <hyperlink ref="A47" r:id="rId46" display="6722"/>
    <hyperlink ref="A48" r:id="rId47" display="6717"/>
    <hyperlink ref="A49" r:id="rId48" display="6902"/>
    <hyperlink ref="A50" r:id="rId49" display="6899"/>
    <hyperlink ref="A51" r:id="rId50" display="2667"/>
    <hyperlink ref="A52" r:id="rId51" display="2672"/>
    <hyperlink ref="A53" r:id="rId52" display="4750"/>
    <hyperlink ref="A54" r:id="rId53" display="5275"/>
    <hyperlink ref="A55" r:id="rId54" display="5274"/>
    <hyperlink ref="A56" r:id="rId55" display="5683"/>
    <hyperlink ref="A57" r:id="rId56" display="5685"/>
    <hyperlink ref="A58" r:id="rId57" display="5688"/>
    <hyperlink ref="A59" r:id="rId58" display="6319"/>
    <hyperlink ref="A60" r:id="rId59" display="6318"/>
    <hyperlink ref="A61" r:id="rId60" display="6317"/>
    <hyperlink ref="A62" r:id="rId61" display="7162"/>
    <hyperlink ref="A63" r:id="rId62" display="5190"/>
    <hyperlink ref="A64" r:id="rId63" display="5654"/>
    <hyperlink ref="A65" r:id="rId64" display="6772"/>
    <hyperlink ref="A66" r:id="rId65" display="6867"/>
    <hyperlink ref="A67" r:id="rId66" display="6311"/>
    <hyperlink ref="A68" r:id="rId67" display="6419"/>
    <hyperlink ref="A69" r:id="rId68" display="6420"/>
    <hyperlink ref="A70" r:id="rId69" display="6316"/>
    <hyperlink ref="A71" r:id="rId70" display="6314"/>
    <hyperlink ref="A72" r:id="rId71" display="6313"/>
    <hyperlink ref="A73" r:id="rId72" display="6312"/>
    <hyperlink ref="A74" r:id="rId73" display="5666"/>
    <hyperlink ref="A75" r:id="rId74" display="5668"/>
    <hyperlink ref="A76" r:id="rId75" display="5663"/>
    <hyperlink ref="A77" r:id="rId76" display="5589"/>
    <hyperlink ref="A78" r:id="rId77" display="5518"/>
    <hyperlink ref="A79" r:id="rId78" display="6766"/>
    <hyperlink ref="A80" r:id="rId79" display="6221"/>
    <hyperlink ref="A81" r:id="rId80" display="7150"/>
    <hyperlink ref="A82" r:id="rId81" display="2700"/>
    <hyperlink ref="A83" r:id="rId82" display="2664"/>
    <hyperlink ref="A84" r:id="rId83" display="2665"/>
    <hyperlink ref="A85" r:id="rId84" display="2699"/>
    <hyperlink ref="A86" r:id="rId85" display="6425"/>
    <hyperlink ref="A87" r:id="rId86" display="6422"/>
    <hyperlink ref="A88" r:id="rId87" display="6424"/>
    <hyperlink ref="A89" r:id="rId88" display="6423"/>
    <hyperlink ref="A90" r:id="rId89" display="6426"/>
    <hyperlink ref="A91" r:id="rId90" display="6878"/>
    <hyperlink ref="A92" r:id="rId91" display="6763"/>
    <hyperlink ref="A93" r:id="rId92" display="7128"/>
    <hyperlink ref="A94" r:id="rId93" display="7129"/>
    <hyperlink ref="A95" r:id="rId94" display="6877"/>
    <hyperlink ref="A96" r:id="rId95" display="7127"/>
    <hyperlink ref="A97" r:id="rId96" display="7173"/>
    <hyperlink ref="A98" r:id="rId97" display="717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B42"/>
  <sheetViews>
    <sheetView showGridLines="0" workbookViewId="0">
      <selection activeCell="A14" sqref="A14"/>
    </sheetView>
  </sheetViews>
  <sheetFormatPr defaultRowHeight="13.8"/>
  <cols>
    <col min="1" max="1" width="67.296875" style="93" bestFit="1" customWidth="1"/>
  </cols>
  <sheetData>
    <row r="1" spans="1:2">
      <c r="A1" s="1" t="s">
        <v>1</v>
      </c>
      <c r="B1" s="3" t="s">
        <v>4</v>
      </c>
    </row>
    <row r="2" spans="1:2">
      <c r="A2" s="25" t="s">
        <v>52</v>
      </c>
      <c r="B2" t="s">
        <v>40</v>
      </c>
    </row>
    <row r="3" spans="1:2">
      <c r="A3" s="25" t="s">
        <v>57</v>
      </c>
      <c r="B3" t="s">
        <v>40</v>
      </c>
    </row>
    <row r="4" spans="1:2">
      <c r="A4" s="25" t="s">
        <v>59</v>
      </c>
      <c r="B4" t="s">
        <v>14</v>
      </c>
    </row>
    <row r="5" spans="1:2">
      <c r="A5" s="25" t="s">
        <v>64</v>
      </c>
      <c r="B5" t="s">
        <v>40</v>
      </c>
    </row>
    <row r="6" spans="1:2">
      <c r="A6" s="25" t="s">
        <v>66</v>
      </c>
      <c r="B6" t="s">
        <v>14</v>
      </c>
    </row>
    <row r="7" spans="1:2">
      <c r="A7" s="26" t="s">
        <v>71</v>
      </c>
      <c r="B7" t="s">
        <v>14</v>
      </c>
    </row>
    <row r="8" spans="1:2">
      <c r="A8" s="25" t="s">
        <v>74</v>
      </c>
      <c r="B8" t="s">
        <v>14</v>
      </c>
    </row>
    <row r="9" spans="1:2">
      <c r="A9" s="25" t="s">
        <v>78</v>
      </c>
      <c r="B9" t="s">
        <v>14</v>
      </c>
    </row>
    <row r="10" spans="1:2">
      <c r="A10" s="25" t="s">
        <v>80</v>
      </c>
      <c r="B10" t="s">
        <v>14</v>
      </c>
    </row>
    <row r="11" spans="1:2">
      <c r="A11" s="26" t="s">
        <v>81</v>
      </c>
      <c r="B11" t="s">
        <v>40</v>
      </c>
    </row>
    <row r="12" spans="1:2">
      <c r="A12" s="26" t="s">
        <v>85</v>
      </c>
      <c r="B12" t="s">
        <v>40</v>
      </c>
    </row>
    <row r="13" spans="1:2">
      <c r="A13" s="26" t="s">
        <v>87</v>
      </c>
      <c r="B13" t="s">
        <v>14</v>
      </c>
    </row>
    <row r="14" spans="1:2">
      <c r="A14" s="25" t="s">
        <v>88</v>
      </c>
      <c r="B14" t="s">
        <v>14</v>
      </c>
    </row>
    <row r="15" spans="1:2">
      <c r="A15" s="25" t="s">
        <v>164</v>
      </c>
      <c r="B15" t="s">
        <v>14</v>
      </c>
    </row>
    <row r="16" spans="1:2">
      <c r="A16" s="25" t="s">
        <v>165</v>
      </c>
      <c r="B16" t="s">
        <v>14</v>
      </c>
    </row>
    <row r="17" spans="1:2">
      <c r="A17" s="25" t="s">
        <v>90</v>
      </c>
      <c r="B17" t="s">
        <v>14</v>
      </c>
    </row>
    <row r="18" spans="1:2">
      <c r="A18" s="27" t="s">
        <v>91</v>
      </c>
      <c r="B18" t="s">
        <v>14</v>
      </c>
    </row>
    <row r="19" spans="1:2">
      <c r="A19" s="27" t="s">
        <v>92</v>
      </c>
      <c r="B19" t="s">
        <v>14</v>
      </c>
    </row>
    <row r="20" spans="1:2">
      <c r="A20" s="27" t="s">
        <v>93</v>
      </c>
      <c r="B20" t="s">
        <v>14</v>
      </c>
    </row>
    <row r="21" spans="1:2">
      <c r="A21" s="27" t="s">
        <v>94</v>
      </c>
      <c r="B21" t="s">
        <v>14</v>
      </c>
    </row>
    <row r="22" spans="1:2">
      <c r="A22" s="25" t="s">
        <v>156</v>
      </c>
      <c r="B22" t="s">
        <v>14</v>
      </c>
    </row>
    <row r="23" spans="1:2">
      <c r="A23" s="26" t="s">
        <v>159</v>
      </c>
      <c r="B23" t="s">
        <v>14</v>
      </c>
    </row>
    <row r="24" spans="1:2">
      <c r="A24" s="26" t="s">
        <v>161</v>
      </c>
      <c r="B24" t="s">
        <v>14</v>
      </c>
    </row>
    <row r="25" spans="1:2">
      <c r="A25" s="25" t="s">
        <v>162</v>
      </c>
      <c r="B25" t="s">
        <v>14</v>
      </c>
    </row>
    <row r="26" spans="1:2">
      <c r="A26" s="25" t="s">
        <v>163</v>
      </c>
      <c r="B26" t="s">
        <v>14</v>
      </c>
    </row>
    <row r="27" spans="1:2">
      <c r="A27" s="25" t="s">
        <v>166</v>
      </c>
      <c r="B27" t="s">
        <v>14</v>
      </c>
    </row>
    <row r="28" spans="1:2">
      <c r="A28" s="26" t="s">
        <v>32</v>
      </c>
      <c r="B28" t="s">
        <v>14</v>
      </c>
    </row>
    <row r="29" spans="1:2">
      <c r="A29" s="26" t="s">
        <v>33</v>
      </c>
      <c r="B29" t="s">
        <v>14</v>
      </c>
    </row>
    <row r="30" spans="1:2">
      <c r="A30" s="26" t="s">
        <v>34</v>
      </c>
      <c r="B30" t="s">
        <v>14</v>
      </c>
    </row>
    <row r="31" spans="1:2">
      <c r="A31" s="26" t="s">
        <v>35</v>
      </c>
      <c r="B31" t="s">
        <v>14</v>
      </c>
    </row>
    <row r="32" spans="1:2">
      <c r="A32" s="26" t="s">
        <v>36</v>
      </c>
      <c r="B32" t="s">
        <v>14</v>
      </c>
    </row>
    <row r="33" spans="1:2">
      <c r="A33" s="26" t="s">
        <v>37</v>
      </c>
      <c r="B33" t="s">
        <v>14</v>
      </c>
    </row>
    <row r="34" spans="1:2">
      <c r="A34" s="26" t="s">
        <v>38</v>
      </c>
      <c r="B34" t="s">
        <v>14</v>
      </c>
    </row>
    <row r="35" spans="1:2">
      <c r="A35" s="27" t="s">
        <v>167</v>
      </c>
      <c r="B35" t="s">
        <v>14</v>
      </c>
    </row>
    <row r="36" spans="1:2">
      <c r="A36" s="25" t="s">
        <v>168</v>
      </c>
      <c r="B36" t="s">
        <v>14</v>
      </c>
    </row>
    <row r="37" spans="1:2">
      <c r="A37" s="26" t="s">
        <v>39</v>
      </c>
      <c r="B37" t="s">
        <v>14</v>
      </c>
    </row>
    <row r="38" spans="1:2">
      <c r="A38" s="26" t="s">
        <v>41</v>
      </c>
      <c r="B38" t="s">
        <v>14</v>
      </c>
    </row>
    <row r="39" spans="1:2">
      <c r="A39" s="26" t="s">
        <v>42</v>
      </c>
      <c r="B39" t="s">
        <v>14</v>
      </c>
    </row>
    <row r="40" spans="1:2">
      <c r="A40" s="26" t="s">
        <v>43</v>
      </c>
      <c r="B40" t="s">
        <v>14</v>
      </c>
    </row>
    <row r="41" spans="1:2">
      <c r="A41" s="26" t="s">
        <v>44</v>
      </c>
      <c r="B41" t="s">
        <v>14</v>
      </c>
    </row>
    <row r="42" spans="1:2">
      <c r="A42" s="25" t="s">
        <v>169</v>
      </c>
      <c r="B42" t="s">
        <v>14</v>
      </c>
    </row>
  </sheetData>
  <autoFilter ref="A1:B42">
    <sortState ref="A2:B42">
      <sortCondition sortBy="cellColor" ref="A1:A42" dxfId="21"/>
    </sortState>
  </autoFilter>
  <conditionalFormatting sqref="A1:A42">
    <cfRule type="duplicateValues" dxfId="20" priority="1"/>
  </conditionalFormatting>
  <conditionalFormatting sqref="B1">
    <cfRule type="cellIs" dxfId="19" priority="2" operator="equal">
      <formula>"Erro"</formula>
    </cfRule>
    <cfRule type="cellIs" dxfId="18" priority="3" operator="equal">
      <formula>"Publicado"</formula>
    </cfRule>
    <cfRule type="cellIs" dxfId="17" priority="4" operator="equal">
      <formula>"Parado"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002060"/>
  </sheetPr>
  <dimension ref="A1:O8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9" sqref="A9:XFD9"/>
    </sheetView>
  </sheetViews>
  <sheetFormatPr defaultRowHeight="13.8"/>
  <cols>
    <col min="1" max="1" width="41.59765625" style="93" bestFit="1" customWidth="1"/>
    <col min="2" max="2" width="15.69921875" style="93" customWidth="1"/>
    <col min="3" max="3" width="20.8984375" style="93" customWidth="1"/>
    <col min="4" max="4" width="12.3984375" style="93" customWidth="1"/>
    <col min="5" max="5" width="18" style="94" customWidth="1"/>
    <col min="6" max="6" width="18" style="95" customWidth="1"/>
    <col min="7" max="7" width="18" style="96" customWidth="1"/>
    <col min="8" max="8" width="21.69921875" style="93" customWidth="1"/>
    <col min="9" max="9" width="39" style="93" customWidth="1"/>
    <col min="10" max="10" width="27.59765625" style="93" customWidth="1"/>
    <col min="11" max="12" width="31.59765625" style="93" customWidth="1"/>
    <col min="13" max="13" width="25.59765625" style="93" customWidth="1"/>
    <col min="14" max="14" width="166.69921875" style="93" bestFit="1" customWidth="1"/>
  </cols>
  <sheetData>
    <row r="1" spans="1:15" ht="47.25" customHeight="1">
      <c r="A1" s="99" t="s">
        <v>170</v>
      </c>
      <c r="B1" s="100"/>
      <c r="C1" s="100"/>
      <c r="D1" s="100"/>
      <c r="E1" s="101"/>
      <c r="F1" s="102"/>
      <c r="G1" s="103"/>
      <c r="H1" s="100"/>
      <c r="I1" s="100"/>
      <c r="J1" s="100"/>
      <c r="K1" s="100"/>
      <c r="L1" s="100"/>
      <c r="M1" s="100"/>
      <c r="N1" s="100"/>
    </row>
    <row r="2" spans="1:15" ht="9" customHeight="1"/>
    <row r="3" spans="1:15" s="2" customFormat="1">
      <c r="A3" s="1" t="s">
        <v>171</v>
      </c>
      <c r="B3" s="1" t="s">
        <v>172</v>
      </c>
      <c r="C3" s="3" t="s">
        <v>173</v>
      </c>
      <c r="D3" s="3" t="s">
        <v>174</v>
      </c>
      <c r="E3" s="3" t="s">
        <v>6</v>
      </c>
      <c r="F3" s="84" t="s">
        <v>175</v>
      </c>
      <c r="G3" s="71" t="s">
        <v>176</v>
      </c>
      <c r="H3" s="3" t="s">
        <v>177</v>
      </c>
      <c r="I3" s="3" t="s">
        <v>178</v>
      </c>
      <c r="J3" s="3" t="s">
        <v>179</v>
      </c>
      <c r="K3" s="3" t="s">
        <v>180</v>
      </c>
      <c r="L3" s="17" t="s">
        <v>181</v>
      </c>
      <c r="M3" s="3" t="s">
        <v>182</v>
      </c>
      <c r="N3" s="3" t="s">
        <v>183</v>
      </c>
      <c r="O3" s="3" t="s">
        <v>184</v>
      </c>
    </row>
    <row r="4" spans="1:15">
      <c r="A4" t="s">
        <v>185</v>
      </c>
      <c r="B4" t="s">
        <v>186</v>
      </c>
      <c r="C4" s="94" t="s">
        <v>187</v>
      </c>
      <c r="D4" s="94">
        <v>2025</v>
      </c>
      <c r="E4" s="86" t="s">
        <v>188</v>
      </c>
      <c r="F4" s="86" t="s">
        <v>189</v>
      </c>
      <c r="G4" s="94">
        <f t="shared" ref="G4:G35" si="0">HOUR(F4)</f>
        <v>14</v>
      </c>
      <c r="H4" s="94" t="e">
        <f t="array" aca="1" ref="H4" ca="1">_xlfn.IFS(G4&lt;12, "Manhã", G4&lt;18, "Tarde", G4&lt;=23, "Noite")</f>
        <v>#NAME?</v>
      </c>
      <c r="I4" s="94" t="s">
        <v>190</v>
      </c>
      <c r="J4" s="94" t="s">
        <v>191</v>
      </c>
      <c r="K4" s="5" t="s">
        <v>192</v>
      </c>
      <c r="L4" s="5" t="s">
        <v>193</v>
      </c>
      <c r="M4" s="5" t="s">
        <v>194</v>
      </c>
      <c r="N4" s="94" t="s">
        <v>195</v>
      </c>
      <c r="O4" s="94"/>
    </row>
    <row r="5" spans="1:15" ht="14.4" customHeight="1">
      <c r="A5" s="76" t="s">
        <v>196</v>
      </c>
      <c r="B5" s="70" t="s">
        <v>197</v>
      </c>
      <c r="C5" s="6" t="s">
        <v>198</v>
      </c>
      <c r="D5" s="94">
        <v>2024</v>
      </c>
      <c r="E5" s="86" t="s">
        <v>188</v>
      </c>
      <c r="F5" s="86" t="s">
        <v>199</v>
      </c>
      <c r="G5" s="94">
        <f t="shared" si="0"/>
        <v>14</v>
      </c>
      <c r="H5" s="94" t="e">
        <f t="array" aca="1" ref="H5" ca="1">_xlfn.IFS(G5&lt;12, "Manhã", G5&lt;18, "Tarde", G5&lt;=23, "Noite")</f>
        <v>#NAME?</v>
      </c>
      <c r="I5" s="94" t="s">
        <v>200</v>
      </c>
      <c r="J5" s="94" t="s">
        <v>191</v>
      </c>
      <c r="K5" s="5" t="s">
        <v>192</v>
      </c>
      <c r="L5" s="5" t="s">
        <v>193</v>
      </c>
      <c r="M5" s="5" t="s">
        <v>194</v>
      </c>
      <c r="N5" s="94" t="s">
        <v>201</v>
      </c>
      <c r="O5" s="94"/>
    </row>
    <row r="6" spans="1:15">
      <c r="A6" s="70" t="s">
        <v>202</v>
      </c>
      <c r="B6" s="70" t="s">
        <v>186</v>
      </c>
      <c r="C6" s="6" t="s">
        <v>198</v>
      </c>
      <c r="D6" s="94">
        <v>2024</v>
      </c>
      <c r="E6" s="4">
        <v>46076</v>
      </c>
      <c r="F6" s="28">
        <v>0.63888888888888884</v>
      </c>
      <c r="G6" s="94">
        <f t="shared" si="0"/>
        <v>15</v>
      </c>
      <c r="H6" s="94" t="e">
        <f t="array" aca="1" ref="H6" ca="1">_xlfn.IFS(G6&lt;12, "Manhã", G6&lt;18, "Tarde", G6&lt;=23, "Noite")</f>
        <v>#NAME?</v>
      </c>
      <c r="I6" s="94" t="s">
        <v>200</v>
      </c>
      <c r="J6" s="94" t="s">
        <v>191</v>
      </c>
      <c r="K6" s="5" t="s">
        <v>192</v>
      </c>
      <c r="L6" s="5" t="s">
        <v>193</v>
      </c>
      <c r="M6" s="5" t="s">
        <v>194</v>
      </c>
      <c r="N6" s="94" t="s">
        <v>203</v>
      </c>
      <c r="O6" s="94"/>
    </row>
    <row r="7" spans="1:15">
      <c r="A7" t="s">
        <v>204</v>
      </c>
      <c r="B7" s="94" t="s">
        <v>186</v>
      </c>
      <c r="C7" s="94" t="s">
        <v>187</v>
      </c>
      <c r="D7" s="94">
        <v>2026</v>
      </c>
      <c r="E7" s="4">
        <v>46084</v>
      </c>
      <c r="F7" s="28">
        <v>0.70138888888888884</v>
      </c>
      <c r="G7" s="94">
        <f t="shared" si="0"/>
        <v>16</v>
      </c>
      <c r="H7" s="94" t="e">
        <f t="array" aca="1" ref="H7" ca="1">_xlfn.IFS(G7&lt;12, "Manhã", G7&lt;18, "Tarde", G7&lt;=23, "Noite")</f>
        <v>#NAME?</v>
      </c>
      <c r="I7" s="94" t="s">
        <v>200</v>
      </c>
      <c r="J7" s="94" t="s">
        <v>191</v>
      </c>
      <c r="K7" s="5" t="s">
        <v>205</v>
      </c>
      <c r="L7" s="5" t="s">
        <v>205</v>
      </c>
      <c r="M7" s="5" t="s">
        <v>206</v>
      </c>
      <c r="N7" s="94" t="s">
        <v>207</v>
      </c>
      <c r="O7" s="94"/>
    </row>
    <row r="8" spans="1:15">
      <c r="A8" t="s">
        <v>208</v>
      </c>
      <c r="B8" s="94" t="s">
        <v>186</v>
      </c>
      <c r="C8" s="94" t="s">
        <v>187</v>
      </c>
      <c r="D8" s="94">
        <v>2026</v>
      </c>
      <c r="E8" s="86" t="s">
        <v>209</v>
      </c>
      <c r="F8" s="86" t="s">
        <v>210</v>
      </c>
      <c r="G8" s="94">
        <f t="shared" si="0"/>
        <v>11</v>
      </c>
      <c r="H8" s="94" t="e">
        <f t="array" aca="1" ref="H8" ca="1">_xlfn.IFS(G8&lt;12, "Manhã", G8&lt;18, "Tarde", G8&lt;=23, "Noite")</f>
        <v>#NAME?</v>
      </c>
      <c r="I8" s="94" t="s">
        <v>200</v>
      </c>
      <c r="J8" s="94" t="s">
        <v>191</v>
      </c>
      <c r="K8" s="5" t="s">
        <v>205</v>
      </c>
      <c r="L8" s="5" t="s">
        <v>205</v>
      </c>
      <c r="M8" s="5" t="s">
        <v>206</v>
      </c>
      <c r="N8" s="94" t="s">
        <v>211</v>
      </c>
      <c r="O8" s="94"/>
    </row>
    <row r="9" spans="1:15" ht="14.4" hidden="1" customHeight="1">
      <c r="A9" s="77" t="s">
        <v>212</v>
      </c>
      <c r="B9" t="s">
        <v>197</v>
      </c>
      <c r="C9" s="94" t="s">
        <v>213</v>
      </c>
      <c r="D9" s="94">
        <v>2025</v>
      </c>
      <c r="E9" s="4">
        <v>45936</v>
      </c>
      <c r="F9" s="94" t="s">
        <v>214</v>
      </c>
      <c r="G9" s="94">
        <f t="shared" si="0"/>
        <v>15</v>
      </c>
      <c r="H9" s="94" t="e">
        <f t="array" aca="1" ref="H9" ca="1">_xlfn.IFS(G9&lt;12, "Manhã", G9&lt;18, "Tarde", G9&lt;=23, "Noite")</f>
        <v>#NAME?</v>
      </c>
      <c r="I9" s="94" t="s">
        <v>200</v>
      </c>
      <c r="J9" s="94" t="s">
        <v>191</v>
      </c>
      <c r="K9" s="5" t="s">
        <v>205</v>
      </c>
      <c r="L9" s="5" t="s">
        <v>205</v>
      </c>
      <c r="M9" s="5" t="s">
        <v>206</v>
      </c>
      <c r="N9" s="94" t="s">
        <v>215</v>
      </c>
      <c r="O9" s="94"/>
    </row>
    <row r="10" spans="1:15">
      <c r="A10" t="s">
        <v>216</v>
      </c>
      <c r="B10" s="94" t="s">
        <v>186</v>
      </c>
      <c r="C10" s="94" t="s">
        <v>187</v>
      </c>
      <c r="D10" s="94">
        <v>2025</v>
      </c>
      <c r="E10" s="4">
        <v>46006</v>
      </c>
      <c r="F10" s="94" t="s">
        <v>217</v>
      </c>
      <c r="G10" s="94">
        <f t="shared" si="0"/>
        <v>10</v>
      </c>
      <c r="H10" s="94" t="e">
        <f t="array" aca="1" ref="H10" ca="1">_xlfn.IFS(G10&lt;12, "Manhã", G10&lt;18, "Tarde", G10&lt;=23, "Noite")</f>
        <v>#NAME?</v>
      </c>
      <c r="I10" s="94" t="s">
        <v>200</v>
      </c>
      <c r="J10" s="94" t="s">
        <v>191</v>
      </c>
      <c r="K10" s="5" t="s">
        <v>205</v>
      </c>
      <c r="L10" s="5" t="s">
        <v>205</v>
      </c>
      <c r="M10" s="5" t="s">
        <v>206</v>
      </c>
      <c r="N10" s="94" t="s">
        <v>218</v>
      </c>
      <c r="O10" s="94"/>
    </row>
    <row r="11" spans="1:15">
      <c r="A11" s="14" t="s">
        <v>219</v>
      </c>
      <c r="B11" s="14" t="s">
        <v>197</v>
      </c>
      <c r="C11" s="94" t="s">
        <v>198</v>
      </c>
      <c r="D11" s="94">
        <v>2025</v>
      </c>
      <c r="E11" s="4">
        <v>45994</v>
      </c>
      <c r="F11" s="94" t="s">
        <v>220</v>
      </c>
      <c r="G11" s="94">
        <f t="shared" si="0"/>
        <v>19</v>
      </c>
      <c r="H11" s="94" t="e">
        <f t="array" aca="1" ref="H11" ca="1">_xlfn.IFS(G11&lt;12, "Manhã", G11&lt;18, "Tarde", G11&lt;=23, "Noite")</f>
        <v>#NAME?</v>
      </c>
      <c r="I11" s="94" t="s">
        <v>200</v>
      </c>
      <c r="J11" s="94" t="s">
        <v>191</v>
      </c>
      <c r="K11" s="5" t="s">
        <v>121</v>
      </c>
      <c r="L11" s="5" t="s">
        <v>121</v>
      </c>
      <c r="M11" s="5" t="s">
        <v>221</v>
      </c>
      <c r="N11" s="94" t="s">
        <v>222</v>
      </c>
      <c r="O11" s="94"/>
    </row>
    <row r="12" spans="1:15">
      <c r="A12" t="s">
        <v>223</v>
      </c>
      <c r="B12" t="s">
        <v>197</v>
      </c>
      <c r="C12" s="94" t="s">
        <v>198</v>
      </c>
      <c r="D12" s="94">
        <v>2025</v>
      </c>
      <c r="E12" s="4">
        <v>46001</v>
      </c>
      <c r="F12" s="94" t="s">
        <v>224</v>
      </c>
      <c r="G12" s="94">
        <f t="shared" si="0"/>
        <v>19</v>
      </c>
      <c r="H12" s="94" t="e">
        <f t="array" aca="1" ref="H12" ca="1">_xlfn.IFS(G12&lt;12, "Manhã", G12&lt;18, "Tarde", G12&lt;=23, "Noite")</f>
        <v>#NAME?</v>
      </c>
      <c r="I12" s="94" t="s">
        <v>200</v>
      </c>
      <c r="J12" s="94" t="s">
        <v>191</v>
      </c>
      <c r="K12" s="5" t="s">
        <v>121</v>
      </c>
      <c r="L12" s="5" t="s">
        <v>121</v>
      </c>
      <c r="M12" s="5" t="s">
        <v>221</v>
      </c>
      <c r="N12" s="94" t="s">
        <v>225</v>
      </c>
      <c r="O12" s="94"/>
    </row>
    <row r="13" spans="1:15" hidden="1">
      <c r="A13" s="14" t="s">
        <v>226</v>
      </c>
      <c r="B13" s="14" t="s">
        <v>186</v>
      </c>
      <c r="C13" s="94" t="s">
        <v>213</v>
      </c>
      <c r="D13" s="94">
        <v>2024</v>
      </c>
      <c r="E13" s="4">
        <v>45425</v>
      </c>
      <c r="F13" s="94" t="s">
        <v>227</v>
      </c>
      <c r="G13" s="94">
        <f t="shared" si="0"/>
        <v>8</v>
      </c>
      <c r="H13" s="94" t="e">
        <f t="array" aca="1" ref="H13" ca="1">_xlfn.IFS(G13&lt;12, "Manhã", G13&lt;18, "Tarde", G13&lt;=23, "Noite")</f>
        <v>#NAME?</v>
      </c>
      <c r="I13" s="94" t="s">
        <v>200</v>
      </c>
      <c r="J13" s="94" t="s">
        <v>191</v>
      </c>
      <c r="K13" s="5" t="s">
        <v>228</v>
      </c>
      <c r="L13" s="5" t="s">
        <v>229</v>
      </c>
      <c r="M13" s="5" t="s">
        <v>221</v>
      </c>
      <c r="N13" s="94" t="s">
        <v>230</v>
      </c>
      <c r="O13" s="94"/>
    </row>
    <row r="14" spans="1:15" hidden="1">
      <c r="A14" s="14" t="s">
        <v>231</v>
      </c>
      <c r="B14" s="75" t="s">
        <v>186</v>
      </c>
      <c r="C14" s="94" t="s">
        <v>213</v>
      </c>
      <c r="D14" s="94">
        <v>2024</v>
      </c>
      <c r="E14" s="86" t="s">
        <v>232</v>
      </c>
      <c r="F14" s="86" t="s">
        <v>233</v>
      </c>
      <c r="G14" s="94">
        <f t="shared" si="0"/>
        <v>18</v>
      </c>
      <c r="H14" s="94" t="e">
        <f t="array" aca="1" ref="H14" ca="1">_xlfn.IFS(G14&lt;12, "Manhã", G14&lt;18, "Tarde", G14&lt;=23, "Noite")</f>
        <v>#NAME?</v>
      </c>
      <c r="I14" s="94" t="s">
        <v>234</v>
      </c>
      <c r="J14" s="94" t="s">
        <v>191</v>
      </c>
      <c r="K14" s="5" t="s">
        <v>229</v>
      </c>
      <c r="L14" s="5" t="s">
        <v>229</v>
      </c>
      <c r="M14" s="5" t="s">
        <v>221</v>
      </c>
      <c r="N14" s="94" t="s">
        <v>235</v>
      </c>
      <c r="O14" s="94"/>
    </row>
    <row r="15" spans="1:15">
      <c r="A15" t="s">
        <v>236</v>
      </c>
      <c r="B15" t="s">
        <v>197</v>
      </c>
      <c r="C15" s="94" t="s">
        <v>198</v>
      </c>
      <c r="D15" s="94">
        <v>2025</v>
      </c>
      <c r="E15" s="4">
        <v>45940</v>
      </c>
      <c r="F15" s="85" t="s">
        <v>237</v>
      </c>
      <c r="G15" s="94">
        <f t="shared" si="0"/>
        <v>15</v>
      </c>
      <c r="H15" s="94" t="e">
        <f t="array" aca="1" ref="H15" ca="1">_xlfn.IFS(G15&lt;12, "Manhã", G15&lt;18, "Tarde", G15&lt;=23, "Noite")</f>
        <v>#NAME?</v>
      </c>
      <c r="I15" s="94" t="s">
        <v>200</v>
      </c>
      <c r="J15" s="94" t="s">
        <v>191</v>
      </c>
      <c r="K15" s="5" t="s">
        <v>238</v>
      </c>
      <c r="L15" s="5" t="s">
        <v>238</v>
      </c>
      <c r="M15" s="5" t="s">
        <v>239</v>
      </c>
      <c r="N15" s="94" t="s">
        <v>240</v>
      </c>
      <c r="O15" s="94"/>
    </row>
    <row r="16" spans="1:15">
      <c r="A16" t="s">
        <v>241</v>
      </c>
      <c r="B16" s="94" t="s">
        <v>186</v>
      </c>
      <c r="C16" s="94" t="s">
        <v>187</v>
      </c>
      <c r="D16" s="94">
        <v>2026</v>
      </c>
      <c r="E16" s="86" t="s">
        <v>242</v>
      </c>
      <c r="F16" s="86" t="s">
        <v>243</v>
      </c>
      <c r="G16" s="94">
        <f t="shared" si="0"/>
        <v>13</v>
      </c>
      <c r="H16" s="94" t="e">
        <f t="array" aca="1" ref="H16" ca="1">_xlfn.IFS(G16&lt;12, "Manhã", G16&lt;18, "Tarde", G16&lt;=23, "Noite")</f>
        <v>#NAME?</v>
      </c>
      <c r="I16" s="94" t="s">
        <v>190</v>
      </c>
      <c r="J16" s="94" t="s">
        <v>244</v>
      </c>
      <c r="K16" s="5" t="s">
        <v>228</v>
      </c>
      <c r="L16" s="5" t="s">
        <v>245</v>
      </c>
      <c r="M16" s="5" t="s">
        <v>239</v>
      </c>
      <c r="N16" s="94" t="s">
        <v>246</v>
      </c>
      <c r="O16" s="94"/>
    </row>
    <row r="17" spans="1:15">
      <c r="A17" t="s">
        <v>247</v>
      </c>
      <c r="B17" s="94" t="s">
        <v>186</v>
      </c>
      <c r="C17" s="94" t="s">
        <v>187</v>
      </c>
      <c r="D17" s="94">
        <v>2025</v>
      </c>
      <c r="E17" s="4">
        <v>45975</v>
      </c>
      <c r="F17" s="85">
        <v>0.30138888888888887</v>
      </c>
      <c r="G17" s="94">
        <f t="shared" si="0"/>
        <v>7</v>
      </c>
      <c r="H17" s="94" t="e">
        <f t="array" aca="1" ref="H17" ca="1">_xlfn.IFS(G17&lt;12, "Manhã", G17&lt;18, "Tarde", G17&lt;=23, "Noite")</f>
        <v>#NAME?</v>
      </c>
      <c r="I17" s="94" t="s">
        <v>200</v>
      </c>
      <c r="J17" s="94" t="s">
        <v>191</v>
      </c>
      <c r="K17" s="5" t="s">
        <v>228</v>
      </c>
      <c r="L17" s="5" t="s">
        <v>248</v>
      </c>
      <c r="M17" s="5" t="s">
        <v>239</v>
      </c>
      <c r="N17" s="94" t="s">
        <v>249</v>
      </c>
      <c r="O17" s="94"/>
    </row>
    <row r="18" spans="1:15">
      <c r="A18" t="s">
        <v>250</v>
      </c>
      <c r="B18" s="94" t="s">
        <v>186</v>
      </c>
      <c r="C18" s="94" t="s">
        <v>187</v>
      </c>
      <c r="D18" s="94">
        <v>2026</v>
      </c>
      <c r="E18" s="4">
        <v>46024</v>
      </c>
      <c r="F18" s="85" t="s">
        <v>251</v>
      </c>
      <c r="G18" s="94">
        <f t="shared" si="0"/>
        <v>14</v>
      </c>
      <c r="H18" s="94" t="e">
        <f t="array" aca="1" ref="H18" ca="1">_xlfn.IFS(G18&lt;12, "Manhã", G18&lt;18, "Tarde", G18&lt;=23, "Noite")</f>
        <v>#NAME?</v>
      </c>
      <c r="I18" s="94" t="s">
        <v>200</v>
      </c>
      <c r="J18" s="94" t="s">
        <v>191</v>
      </c>
      <c r="K18" s="5" t="s">
        <v>238</v>
      </c>
      <c r="L18" s="5" t="s">
        <v>238</v>
      </c>
      <c r="M18" s="5" t="s">
        <v>239</v>
      </c>
      <c r="N18" s="94" t="s">
        <v>252</v>
      </c>
      <c r="O18" s="94"/>
    </row>
    <row r="19" spans="1:15">
      <c r="A19" t="s">
        <v>253</v>
      </c>
      <c r="B19" t="s">
        <v>197</v>
      </c>
      <c r="C19" s="94" t="s">
        <v>198</v>
      </c>
      <c r="D19" s="94">
        <v>2025</v>
      </c>
      <c r="E19" s="4">
        <v>45938</v>
      </c>
      <c r="F19" s="85" t="s">
        <v>254</v>
      </c>
      <c r="G19" s="94">
        <f t="shared" si="0"/>
        <v>19</v>
      </c>
      <c r="H19" s="94" t="e">
        <f t="array" aca="1" ref="H19" ca="1">_xlfn.IFS(G19&lt;12, "Manhã", G19&lt;18, "Tarde", G19&lt;=23, "Noite")</f>
        <v>#NAME?</v>
      </c>
      <c r="I19" s="94" t="s">
        <v>200</v>
      </c>
      <c r="J19" s="94" t="s">
        <v>191</v>
      </c>
      <c r="K19" s="5" t="s">
        <v>238</v>
      </c>
      <c r="L19" s="5" t="s">
        <v>238</v>
      </c>
      <c r="M19" s="5" t="s">
        <v>239</v>
      </c>
      <c r="N19" s="94" t="s">
        <v>255</v>
      </c>
      <c r="O19" s="94"/>
    </row>
    <row r="20" spans="1:15" hidden="1">
      <c r="A20" t="s">
        <v>256</v>
      </c>
      <c r="B20" t="s">
        <v>197</v>
      </c>
      <c r="C20" s="94" t="s">
        <v>213</v>
      </c>
      <c r="D20" s="94">
        <v>2025</v>
      </c>
      <c r="E20" s="4">
        <v>45783</v>
      </c>
      <c r="F20" s="85" t="s">
        <v>257</v>
      </c>
      <c r="G20" s="94">
        <f t="shared" si="0"/>
        <v>15</v>
      </c>
      <c r="H20" s="94" t="e">
        <f t="array" aca="1" ref="H20" ca="1">_xlfn.IFS(G20&lt;12, "Manhã", G20&lt;18, "Tarde", G20&lt;=23, "Noite")</f>
        <v>#NAME?</v>
      </c>
      <c r="I20" s="94" t="s">
        <v>200</v>
      </c>
      <c r="J20" s="94" t="s">
        <v>191</v>
      </c>
      <c r="K20" s="5" t="s">
        <v>238</v>
      </c>
      <c r="L20" s="5" t="s">
        <v>238</v>
      </c>
      <c r="M20" s="5" t="s">
        <v>239</v>
      </c>
      <c r="N20" s="94" t="s">
        <v>258</v>
      </c>
      <c r="O20" s="94"/>
    </row>
    <row r="21" spans="1:15">
      <c r="A21" t="s">
        <v>259</v>
      </c>
      <c r="B21" s="94" t="s">
        <v>186</v>
      </c>
      <c r="C21" s="94" t="s">
        <v>187</v>
      </c>
      <c r="D21" s="94">
        <v>2026</v>
      </c>
      <c r="E21" s="86" t="s">
        <v>242</v>
      </c>
      <c r="F21" s="86" t="s">
        <v>260</v>
      </c>
      <c r="G21" s="94">
        <f t="shared" si="0"/>
        <v>13</v>
      </c>
      <c r="H21" s="94" t="e">
        <f t="array" aca="1" ref="H21" ca="1">_xlfn.IFS(G21&lt;12, "Manhã", G21&lt;18, "Tarde", G21&lt;=23, "Noite")</f>
        <v>#NAME?</v>
      </c>
      <c r="I21" s="94" t="s">
        <v>190</v>
      </c>
      <c r="J21" s="94" t="s">
        <v>244</v>
      </c>
      <c r="K21" s="5" t="s">
        <v>228</v>
      </c>
      <c r="L21" s="5" t="s">
        <v>245</v>
      </c>
      <c r="M21" s="5" t="s">
        <v>239</v>
      </c>
      <c r="N21" s="94" t="s">
        <v>261</v>
      </c>
      <c r="O21" s="94"/>
    </row>
    <row r="22" spans="1:15" hidden="1">
      <c r="A22" t="s">
        <v>262</v>
      </c>
      <c r="B22" t="s">
        <v>197</v>
      </c>
      <c r="C22" s="94" t="s">
        <v>213</v>
      </c>
      <c r="D22" s="94">
        <v>2025</v>
      </c>
      <c r="E22" s="4">
        <v>45938</v>
      </c>
      <c r="F22" s="85" t="s">
        <v>263</v>
      </c>
      <c r="G22" s="94">
        <f t="shared" si="0"/>
        <v>16</v>
      </c>
      <c r="H22" s="94" t="e">
        <f t="array" aca="1" ref="H22" ca="1">_xlfn.IFS(G22&lt;12, "Manhã", G22&lt;18, "Tarde", G22&lt;=23, "Noite")</f>
        <v>#NAME?</v>
      </c>
      <c r="I22" s="94" t="s">
        <v>200</v>
      </c>
      <c r="J22" s="94" t="s">
        <v>191</v>
      </c>
      <c r="K22" s="5" t="s">
        <v>228</v>
      </c>
      <c r="L22" s="5" t="s">
        <v>245</v>
      </c>
      <c r="M22" s="5" t="s">
        <v>239</v>
      </c>
      <c r="N22" s="94" t="s">
        <v>264</v>
      </c>
      <c r="O22" s="94"/>
    </row>
    <row r="23" spans="1:15">
      <c r="A23" t="s">
        <v>265</v>
      </c>
      <c r="B23" t="s">
        <v>186</v>
      </c>
      <c r="C23" s="94" t="s">
        <v>187</v>
      </c>
      <c r="D23" s="94">
        <v>2025</v>
      </c>
      <c r="E23" s="86" t="s">
        <v>266</v>
      </c>
      <c r="F23" s="86" t="s">
        <v>267</v>
      </c>
      <c r="G23" s="94">
        <f t="shared" si="0"/>
        <v>11</v>
      </c>
      <c r="H23" s="94" t="e">
        <f t="array" aca="1" ref="H23" ca="1">_xlfn.IFS(G23&lt;12, "Manhã", G23&lt;18, "Tarde", G23&lt;=23, "Noite")</f>
        <v>#NAME?</v>
      </c>
      <c r="I23" s="94" t="s">
        <v>190</v>
      </c>
      <c r="J23" s="94" t="s">
        <v>268</v>
      </c>
      <c r="K23" s="5" t="s">
        <v>238</v>
      </c>
      <c r="L23" s="5" t="s">
        <v>238</v>
      </c>
      <c r="M23" s="5" t="s">
        <v>239</v>
      </c>
      <c r="N23" s="94" t="s">
        <v>269</v>
      </c>
      <c r="O23" s="94"/>
    </row>
    <row r="24" spans="1:15">
      <c r="A24" t="s">
        <v>270</v>
      </c>
      <c r="B24" t="s">
        <v>186</v>
      </c>
      <c r="C24" s="94" t="s">
        <v>187</v>
      </c>
      <c r="D24" s="94">
        <v>2025</v>
      </c>
      <c r="E24" s="4">
        <v>46091</v>
      </c>
      <c r="F24" s="85">
        <v>0.375</v>
      </c>
      <c r="G24" s="94">
        <f t="shared" si="0"/>
        <v>9</v>
      </c>
      <c r="H24" s="94" t="e">
        <f t="array" aca="1" ref="H24" ca="1">_xlfn.IFS(G24&lt;12, "Manhã", G24&lt;18, "Tarde", G24&lt;=23, "Noite")</f>
        <v>#NAME?</v>
      </c>
      <c r="I24" s="94" t="s">
        <v>190</v>
      </c>
      <c r="J24" s="94" t="s">
        <v>244</v>
      </c>
      <c r="K24" s="5" t="s">
        <v>238</v>
      </c>
      <c r="L24" s="5" t="s">
        <v>238</v>
      </c>
      <c r="M24" s="5" t="s">
        <v>239</v>
      </c>
      <c r="N24" s="94" t="s">
        <v>271</v>
      </c>
      <c r="O24" s="94"/>
    </row>
    <row r="25" spans="1:15" hidden="1">
      <c r="A25" t="s">
        <v>272</v>
      </c>
      <c r="B25" t="s">
        <v>197</v>
      </c>
      <c r="C25" s="94" t="s">
        <v>213</v>
      </c>
      <c r="D25" s="94">
        <v>2025</v>
      </c>
      <c r="E25" s="4">
        <v>45876</v>
      </c>
      <c r="F25" s="85" t="s">
        <v>273</v>
      </c>
      <c r="G25" s="94">
        <f t="shared" si="0"/>
        <v>7</v>
      </c>
      <c r="H25" s="94" t="e">
        <f t="array" aca="1" ref="H25" ca="1">_xlfn.IFS(G25&lt;12, "Manhã", G25&lt;18, "Tarde", G25&lt;=23, "Noite")</f>
        <v>#NAME?</v>
      </c>
      <c r="I25" s="94" t="s">
        <v>200</v>
      </c>
      <c r="J25" s="94" t="s">
        <v>191</v>
      </c>
      <c r="K25" s="5" t="s">
        <v>238</v>
      </c>
      <c r="L25" s="5" t="s">
        <v>238</v>
      </c>
      <c r="M25" s="5" t="s">
        <v>239</v>
      </c>
      <c r="N25" s="94" t="s">
        <v>274</v>
      </c>
      <c r="O25" s="94"/>
    </row>
    <row r="26" spans="1:15" hidden="1">
      <c r="A26" t="s">
        <v>275</v>
      </c>
      <c r="B26" t="s">
        <v>197</v>
      </c>
      <c r="C26" s="94" t="s">
        <v>213</v>
      </c>
      <c r="D26" s="94">
        <v>2025</v>
      </c>
      <c r="E26" s="4">
        <v>45908</v>
      </c>
      <c r="F26" s="85">
        <v>0.35416666666666669</v>
      </c>
      <c r="G26" s="94">
        <f t="shared" si="0"/>
        <v>8</v>
      </c>
      <c r="H26" s="94" t="e">
        <f t="array" aca="1" ref="H26" ca="1">_xlfn.IFS(G26&lt;12, "Manhã", G26&lt;18, "Tarde", G26&lt;=23, "Noite")</f>
        <v>#NAME?</v>
      </c>
      <c r="I26" s="94" t="s">
        <v>200</v>
      </c>
      <c r="J26" s="94" t="s">
        <v>191</v>
      </c>
      <c r="K26" s="5" t="s">
        <v>238</v>
      </c>
      <c r="L26" s="5" t="s">
        <v>238</v>
      </c>
      <c r="M26" s="5" t="s">
        <v>239</v>
      </c>
      <c r="N26" s="94" t="s">
        <v>276</v>
      </c>
      <c r="O26" s="94"/>
    </row>
    <row r="27" spans="1:15">
      <c r="A27" t="s">
        <v>277</v>
      </c>
      <c r="B27" s="94" t="s">
        <v>186</v>
      </c>
      <c r="C27" s="94" t="s">
        <v>187</v>
      </c>
      <c r="D27" s="94">
        <v>2026</v>
      </c>
      <c r="E27" s="4">
        <v>46091</v>
      </c>
      <c r="F27" s="85">
        <v>0.39583333333333331</v>
      </c>
      <c r="G27" s="94">
        <f t="shared" si="0"/>
        <v>9</v>
      </c>
      <c r="H27" s="94" t="e">
        <f t="array" aca="1" ref="H27" ca="1">_xlfn.IFS(G27&lt;12, "Manhã", G27&lt;18, "Tarde", G27&lt;=23, "Noite")</f>
        <v>#NAME?</v>
      </c>
      <c r="I27" s="94" t="s">
        <v>200</v>
      </c>
      <c r="J27" s="94" t="s">
        <v>191</v>
      </c>
      <c r="K27" s="5" t="s">
        <v>278</v>
      </c>
      <c r="L27" s="5" t="s">
        <v>278</v>
      </c>
      <c r="M27" s="5" t="s">
        <v>239</v>
      </c>
      <c r="N27" s="94" t="s">
        <v>279</v>
      </c>
      <c r="O27" s="94"/>
    </row>
    <row r="28" spans="1:15">
      <c r="A28" t="s">
        <v>280</v>
      </c>
      <c r="B28" s="94" t="s">
        <v>186</v>
      </c>
      <c r="C28" s="94" t="s">
        <v>187</v>
      </c>
      <c r="D28" s="94">
        <v>2025</v>
      </c>
      <c r="E28" s="4">
        <v>46087</v>
      </c>
      <c r="F28" s="85">
        <v>0.73611111111111116</v>
      </c>
      <c r="G28" s="94">
        <f t="shared" si="0"/>
        <v>17</v>
      </c>
      <c r="H28" s="94" t="e">
        <f t="array" aca="1" ref="H28" ca="1">_xlfn.IFS(G28&lt;12, "Manhã", G28&lt;18, "Tarde", G28&lt;=23, "Noite")</f>
        <v>#NAME?</v>
      </c>
      <c r="I28" s="94" t="s">
        <v>200</v>
      </c>
      <c r="J28" s="94" t="s">
        <v>191</v>
      </c>
      <c r="K28" s="5" t="s">
        <v>238</v>
      </c>
      <c r="L28" s="5" t="s">
        <v>238</v>
      </c>
      <c r="M28" s="5" t="s">
        <v>239</v>
      </c>
      <c r="N28" s="94" t="s">
        <v>281</v>
      </c>
      <c r="O28" s="94"/>
    </row>
    <row r="29" spans="1:15">
      <c r="A29" t="s">
        <v>282</v>
      </c>
      <c r="B29" s="94" t="s">
        <v>186</v>
      </c>
      <c r="C29" s="94" t="s">
        <v>187</v>
      </c>
      <c r="D29" s="94">
        <v>2025</v>
      </c>
      <c r="E29" s="86" t="s">
        <v>283</v>
      </c>
      <c r="F29" s="86" t="s">
        <v>284</v>
      </c>
      <c r="G29" s="94">
        <f t="shared" si="0"/>
        <v>11</v>
      </c>
      <c r="H29" s="94" t="e">
        <f t="array" aca="1" ref="H29" ca="1">_xlfn.IFS(G29&lt;12, "Manhã", G29&lt;18, "Tarde", G29&lt;=23, "Noite")</f>
        <v>#NAME?</v>
      </c>
      <c r="I29" s="94" t="s">
        <v>200</v>
      </c>
      <c r="J29" s="94" t="s">
        <v>191</v>
      </c>
      <c r="K29" s="5" t="s">
        <v>238</v>
      </c>
      <c r="L29" s="5" t="s">
        <v>238</v>
      </c>
      <c r="M29" s="5" t="s">
        <v>239</v>
      </c>
      <c r="N29" s="94" t="s">
        <v>285</v>
      </c>
      <c r="O29" s="94"/>
    </row>
    <row r="30" spans="1:15">
      <c r="A30" t="s">
        <v>286</v>
      </c>
      <c r="B30" s="94" t="s">
        <v>186</v>
      </c>
      <c r="C30" s="94" t="s">
        <v>198</v>
      </c>
      <c r="D30" s="94">
        <v>2025</v>
      </c>
      <c r="E30" s="86" t="s">
        <v>287</v>
      </c>
      <c r="F30" s="86" t="s">
        <v>288</v>
      </c>
      <c r="G30" s="94">
        <f t="shared" si="0"/>
        <v>12</v>
      </c>
      <c r="H30" s="94" t="e">
        <f t="array" aca="1" ref="H30" ca="1">_xlfn.IFS(G30&lt;12, "Manhã", G30&lt;18, "Tarde", G30&lt;=23, "Noite")</f>
        <v>#NAME?</v>
      </c>
      <c r="I30" s="94" t="s">
        <v>200</v>
      </c>
      <c r="J30" s="94" t="s">
        <v>191</v>
      </c>
      <c r="K30" s="5" t="s">
        <v>228</v>
      </c>
      <c r="L30" s="5" t="s">
        <v>289</v>
      </c>
      <c r="M30" s="5" t="s">
        <v>239</v>
      </c>
      <c r="N30" s="94" t="s">
        <v>290</v>
      </c>
      <c r="O30" s="94"/>
    </row>
    <row r="31" spans="1:15">
      <c r="A31" t="s">
        <v>291</v>
      </c>
      <c r="B31" t="s">
        <v>186</v>
      </c>
      <c r="C31" s="94" t="s">
        <v>187</v>
      </c>
      <c r="D31" s="94">
        <v>2025</v>
      </c>
      <c r="E31" s="86" t="s">
        <v>242</v>
      </c>
      <c r="F31" s="86" t="s">
        <v>292</v>
      </c>
      <c r="G31" s="94">
        <f t="shared" si="0"/>
        <v>12</v>
      </c>
      <c r="H31" s="94" t="e">
        <f t="array" aca="1" ref="H31" ca="1">_xlfn.IFS(G31&lt;12, "Manhã", G31&lt;18, "Tarde", G31&lt;=23, "Noite")</f>
        <v>#NAME?</v>
      </c>
      <c r="I31" s="94" t="s">
        <v>190</v>
      </c>
      <c r="J31" s="94" t="s">
        <v>244</v>
      </c>
      <c r="K31" s="5" t="s">
        <v>238</v>
      </c>
      <c r="L31" s="5" t="s">
        <v>238</v>
      </c>
      <c r="M31" s="5" t="s">
        <v>239</v>
      </c>
      <c r="N31" s="94" t="s">
        <v>293</v>
      </c>
      <c r="O31" s="94"/>
    </row>
    <row r="32" spans="1:15">
      <c r="A32" t="s">
        <v>294</v>
      </c>
      <c r="B32" s="94" t="s">
        <v>186</v>
      </c>
      <c r="C32" s="94" t="s">
        <v>187</v>
      </c>
      <c r="D32" s="94">
        <v>2026</v>
      </c>
      <c r="E32" s="86" t="s">
        <v>242</v>
      </c>
      <c r="F32" s="86" t="s">
        <v>243</v>
      </c>
      <c r="G32" s="94">
        <f t="shared" si="0"/>
        <v>13</v>
      </c>
      <c r="H32" s="94" t="e">
        <f t="array" aca="1" ref="H32" ca="1">_xlfn.IFS(G32&lt;12, "Manhã", G32&lt;18, "Tarde", G32&lt;=23, "Noite")</f>
        <v>#NAME?</v>
      </c>
      <c r="I32" s="94" t="s">
        <v>190</v>
      </c>
      <c r="J32" s="94" t="s">
        <v>244</v>
      </c>
      <c r="K32" s="5" t="s">
        <v>228</v>
      </c>
      <c r="L32" s="5" t="s">
        <v>245</v>
      </c>
      <c r="M32" s="5" t="s">
        <v>239</v>
      </c>
      <c r="N32" s="94" t="s">
        <v>295</v>
      </c>
      <c r="O32" s="94"/>
    </row>
    <row r="33" spans="1:15">
      <c r="A33" t="s">
        <v>296</v>
      </c>
      <c r="B33" t="s">
        <v>186</v>
      </c>
      <c r="C33" t="s">
        <v>187</v>
      </c>
      <c r="D33" s="94">
        <v>2026</v>
      </c>
      <c r="E33" s="86" t="s">
        <v>242</v>
      </c>
      <c r="F33" s="86" t="s">
        <v>297</v>
      </c>
      <c r="G33" s="94">
        <f t="shared" si="0"/>
        <v>11</v>
      </c>
      <c r="H33" s="94" t="e">
        <f t="array" aca="1" ref="H33" ca="1">_xlfn.IFS(G33&lt;12, "Manhã", G33&lt;18, "Tarde", G33&lt;=23, "Noite")</f>
        <v>#NAME?</v>
      </c>
      <c r="I33" t="s">
        <v>190</v>
      </c>
      <c r="J33" s="94" t="s">
        <v>244</v>
      </c>
      <c r="K33" s="5" t="s">
        <v>228</v>
      </c>
      <c r="L33" s="5" t="s">
        <v>238</v>
      </c>
      <c r="M33" s="5" t="s">
        <v>239</v>
      </c>
      <c r="N33" s="73" t="s">
        <v>298</v>
      </c>
    </row>
    <row r="34" spans="1:15">
      <c r="A34" t="s">
        <v>299</v>
      </c>
      <c r="B34" s="94" t="s">
        <v>186</v>
      </c>
      <c r="C34" s="94" t="s">
        <v>187</v>
      </c>
      <c r="D34" s="94">
        <v>2026</v>
      </c>
      <c r="E34" s="86" t="s">
        <v>242</v>
      </c>
      <c r="F34" s="86" t="s">
        <v>300</v>
      </c>
      <c r="G34" s="94">
        <f t="shared" si="0"/>
        <v>10</v>
      </c>
      <c r="H34" s="94" t="e">
        <f t="array" aca="1" ref="H34" ca="1">_xlfn.IFS(G34&lt;12, "Manhã", G34&lt;18, "Tarde", G34&lt;=23, "Noite")</f>
        <v>#NAME?</v>
      </c>
      <c r="I34" s="94" t="s">
        <v>190</v>
      </c>
      <c r="J34" s="94" t="s">
        <v>301</v>
      </c>
      <c r="K34" s="5" t="s">
        <v>302</v>
      </c>
      <c r="L34" s="5" t="s">
        <v>302</v>
      </c>
      <c r="M34" s="5" t="s">
        <v>303</v>
      </c>
      <c r="N34" s="94" t="s">
        <v>304</v>
      </c>
      <c r="O34" s="94"/>
    </row>
    <row r="35" spans="1:15" hidden="1">
      <c r="A35" t="s">
        <v>305</v>
      </c>
      <c r="B35" t="s">
        <v>186</v>
      </c>
      <c r="C35" s="6" t="s">
        <v>213</v>
      </c>
      <c r="D35" s="94">
        <v>2024</v>
      </c>
      <c r="E35" s="86" t="s">
        <v>306</v>
      </c>
      <c r="F35" s="86" t="s">
        <v>307</v>
      </c>
      <c r="G35" s="94">
        <f t="shared" si="0"/>
        <v>10</v>
      </c>
      <c r="H35" s="94" t="e">
        <f t="array" aca="1" ref="H35" ca="1">_xlfn.IFS(G35&lt;12, "Manhã", G35&lt;18, "Tarde", G35&lt;=23, "Noite")</f>
        <v>#NAME?</v>
      </c>
      <c r="I35" s="94" t="s">
        <v>200</v>
      </c>
      <c r="J35" s="94" t="s">
        <v>191</v>
      </c>
      <c r="K35" s="5" t="s">
        <v>228</v>
      </c>
      <c r="L35" s="5" t="s">
        <v>308</v>
      </c>
      <c r="M35" s="5" t="s">
        <v>309</v>
      </c>
      <c r="N35" s="94" t="s">
        <v>310</v>
      </c>
      <c r="O35" s="94"/>
    </row>
    <row r="36" spans="1:15">
      <c r="A36" t="s">
        <v>311</v>
      </c>
      <c r="B36" s="94" t="s">
        <v>186</v>
      </c>
      <c r="C36" s="94" t="s">
        <v>187</v>
      </c>
      <c r="D36" s="94">
        <v>2026</v>
      </c>
      <c r="E36" s="86" t="s">
        <v>312</v>
      </c>
      <c r="F36" s="86" t="s">
        <v>313</v>
      </c>
      <c r="G36" s="94">
        <f t="shared" ref="G36:G67" si="1">HOUR(F36)</f>
        <v>18</v>
      </c>
      <c r="H36" s="94" t="e">
        <f t="array" aca="1" ref="H36" ca="1">_xlfn.IFS(G36&lt;12, "Manhã", G36&lt;18, "Tarde", G36&lt;=23, "Noite")</f>
        <v>#NAME?</v>
      </c>
      <c r="I36" s="94" t="s">
        <v>200</v>
      </c>
      <c r="J36" s="94" t="s">
        <v>191</v>
      </c>
      <c r="K36" s="5" t="s">
        <v>228</v>
      </c>
      <c r="L36" s="5" t="s">
        <v>314</v>
      </c>
      <c r="M36" s="5" t="s">
        <v>315</v>
      </c>
      <c r="N36" s="94" t="s">
        <v>316</v>
      </c>
      <c r="O36" s="94"/>
    </row>
    <row r="37" spans="1:15">
      <c r="A37" t="s">
        <v>317</v>
      </c>
      <c r="B37" s="94" t="s">
        <v>186</v>
      </c>
      <c r="C37" s="94" t="s">
        <v>187</v>
      </c>
      <c r="D37" s="94">
        <v>2026</v>
      </c>
      <c r="E37" s="86" t="s">
        <v>188</v>
      </c>
      <c r="F37" s="86" t="s">
        <v>318</v>
      </c>
      <c r="G37" s="94">
        <f t="shared" si="1"/>
        <v>18</v>
      </c>
      <c r="H37" s="94" t="e">
        <f t="array" aca="1" ref="H37" ca="1">_xlfn.IFS(G37&lt;12, "Manhã", G37&lt;18, "Tarde", G37&lt;=23, "Noite")</f>
        <v>#NAME?</v>
      </c>
      <c r="I37" s="94" t="s">
        <v>190</v>
      </c>
      <c r="J37" s="94" t="s">
        <v>319</v>
      </c>
      <c r="K37" s="5" t="s">
        <v>228</v>
      </c>
      <c r="L37" s="5" t="s">
        <v>289</v>
      </c>
      <c r="M37" s="5" t="s">
        <v>309</v>
      </c>
      <c r="N37" s="94" t="s">
        <v>320</v>
      </c>
      <c r="O37" s="94"/>
    </row>
    <row r="38" spans="1:15">
      <c r="A38" t="s">
        <v>321</v>
      </c>
      <c r="B38" s="94" t="s">
        <v>186</v>
      </c>
      <c r="C38" s="94" t="s">
        <v>187</v>
      </c>
      <c r="D38" s="94">
        <v>2026</v>
      </c>
      <c r="E38" s="86" t="s">
        <v>188</v>
      </c>
      <c r="F38" s="86" t="s">
        <v>318</v>
      </c>
      <c r="G38" s="94">
        <f t="shared" si="1"/>
        <v>18</v>
      </c>
      <c r="H38" s="94" t="e">
        <f t="array" aca="1" ref="H38" ca="1">_xlfn.IFS(G38&lt;12, "Manhã", G38&lt;18, "Tarde", G38&lt;=23, "Noite")</f>
        <v>#NAME?</v>
      </c>
      <c r="I38" s="94" t="s">
        <v>322</v>
      </c>
      <c r="J38" s="94" t="s">
        <v>319</v>
      </c>
      <c r="K38" s="5" t="s">
        <v>228</v>
      </c>
      <c r="L38" s="5" t="s">
        <v>289</v>
      </c>
      <c r="M38" s="5" t="s">
        <v>309</v>
      </c>
      <c r="N38" s="5" t="s">
        <v>323</v>
      </c>
      <c r="O38" s="94"/>
    </row>
    <row r="39" spans="1:15" hidden="1">
      <c r="A39" t="s">
        <v>324</v>
      </c>
      <c r="B39" t="s">
        <v>186</v>
      </c>
      <c r="C39" s="94" t="s">
        <v>213</v>
      </c>
      <c r="D39" s="94">
        <v>2025</v>
      </c>
      <c r="E39" s="4">
        <v>45791</v>
      </c>
      <c r="F39" s="94" t="s">
        <v>325</v>
      </c>
      <c r="G39" s="94">
        <f t="shared" si="1"/>
        <v>16</v>
      </c>
      <c r="H39" s="94" t="e">
        <f t="array" aca="1" ref="H39" ca="1">_xlfn.IFS(G39&lt;12, "Manhã", G39&lt;18, "Tarde", G39&lt;=23, "Noite")</f>
        <v>#NAME?</v>
      </c>
      <c r="I39" s="94" t="s">
        <v>200</v>
      </c>
      <c r="J39" s="94" t="s">
        <v>191</v>
      </c>
      <c r="K39" s="5" t="s">
        <v>326</v>
      </c>
      <c r="L39" s="5" t="s">
        <v>289</v>
      </c>
      <c r="M39" s="5" t="s">
        <v>309</v>
      </c>
      <c r="N39" s="94" t="s">
        <v>327</v>
      </c>
      <c r="O39" s="94"/>
    </row>
    <row r="40" spans="1:15" hidden="1">
      <c r="A40" t="s">
        <v>328</v>
      </c>
      <c r="B40" t="s">
        <v>197</v>
      </c>
      <c r="C40" s="6" t="s">
        <v>213</v>
      </c>
      <c r="D40" s="94">
        <v>2024</v>
      </c>
      <c r="E40" s="4">
        <v>45636</v>
      </c>
      <c r="F40" s="94" t="s">
        <v>329</v>
      </c>
      <c r="G40" s="94">
        <f t="shared" si="1"/>
        <v>14</v>
      </c>
      <c r="H40" s="94" t="e">
        <f t="array" aca="1" ref="H40" ca="1">_xlfn.IFS(G40&lt;12, "Manhã", G40&lt;18, "Tarde", G40&lt;=23, "Noite")</f>
        <v>#NAME?</v>
      </c>
      <c r="I40" s="94" t="s">
        <v>200</v>
      </c>
      <c r="J40" s="94" t="s">
        <v>191</v>
      </c>
      <c r="K40" s="5" t="s">
        <v>330</v>
      </c>
      <c r="L40" s="5" t="s">
        <v>289</v>
      </c>
      <c r="M40" s="5" t="s">
        <v>309</v>
      </c>
      <c r="N40" s="94" t="s">
        <v>331</v>
      </c>
      <c r="O40" s="94"/>
    </row>
    <row r="41" spans="1:15">
      <c r="A41" t="s">
        <v>332</v>
      </c>
      <c r="B41" s="94" t="s">
        <v>186</v>
      </c>
      <c r="C41" s="94" t="s">
        <v>187</v>
      </c>
      <c r="D41" s="94">
        <v>2026</v>
      </c>
      <c r="E41" s="86" t="s">
        <v>333</v>
      </c>
      <c r="F41" s="86" t="s">
        <v>334</v>
      </c>
      <c r="G41" s="94">
        <f t="shared" si="1"/>
        <v>14</v>
      </c>
      <c r="H41" s="94" t="e">
        <f t="array" aca="1" ref="H41" ca="1">_xlfn.IFS(G41&lt;12, "Manhã", G41&lt;18, "Tarde", G41&lt;=23, "Noite")</f>
        <v>#NAME?</v>
      </c>
      <c r="I41" s="94" t="s">
        <v>200</v>
      </c>
      <c r="J41" s="94" t="s">
        <v>191</v>
      </c>
      <c r="K41" s="5" t="s">
        <v>330</v>
      </c>
      <c r="L41" s="5" t="s">
        <v>289</v>
      </c>
      <c r="M41" s="5" t="s">
        <v>309</v>
      </c>
      <c r="N41" s="94" t="s">
        <v>335</v>
      </c>
      <c r="O41" s="94"/>
    </row>
    <row r="42" spans="1:15">
      <c r="A42" t="s">
        <v>336</v>
      </c>
      <c r="B42" s="94" t="s">
        <v>186</v>
      </c>
      <c r="C42" s="94" t="s">
        <v>187</v>
      </c>
      <c r="D42" s="94">
        <v>2026</v>
      </c>
      <c r="E42" s="4">
        <v>46045</v>
      </c>
      <c r="F42" s="28">
        <v>0.4777777777777778</v>
      </c>
      <c r="G42" s="94">
        <f t="shared" si="1"/>
        <v>11</v>
      </c>
      <c r="H42" s="94" t="e">
        <f t="array" aca="1" ref="H42" ca="1">_xlfn.IFS(G42&lt;12, "Manhã", G42&lt;18, "Tarde", G42&lt;=23, "Noite")</f>
        <v>#NAME?</v>
      </c>
      <c r="I42" s="94" t="s">
        <v>200</v>
      </c>
      <c r="J42" s="94" t="s">
        <v>191</v>
      </c>
      <c r="K42" s="5" t="s">
        <v>330</v>
      </c>
      <c r="L42" s="5" t="s">
        <v>289</v>
      </c>
      <c r="M42" s="5" t="s">
        <v>309</v>
      </c>
      <c r="N42" s="94" t="s">
        <v>337</v>
      </c>
      <c r="O42" s="94"/>
    </row>
    <row r="43" spans="1:15" ht="14.4" hidden="1" customHeight="1">
      <c r="A43" s="77" t="s">
        <v>338</v>
      </c>
      <c r="B43" t="s">
        <v>197</v>
      </c>
      <c r="C43" s="94" t="s">
        <v>213</v>
      </c>
      <c r="D43" s="94">
        <v>2025</v>
      </c>
      <c r="E43" s="4">
        <v>45832</v>
      </c>
      <c r="F43" s="94" t="s">
        <v>210</v>
      </c>
      <c r="G43" s="94">
        <f t="shared" si="1"/>
        <v>11</v>
      </c>
      <c r="H43" s="94" t="e">
        <f t="array" aca="1" ref="H43" ca="1">_xlfn.IFS(G43&lt;12, "Manhã", G43&lt;18, "Tarde", G43&lt;=23, "Noite")</f>
        <v>#NAME?</v>
      </c>
      <c r="I43" s="94" t="s">
        <v>200</v>
      </c>
      <c r="J43" s="94" t="s">
        <v>191</v>
      </c>
      <c r="K43" s="5" t="s">
        <v>228</v>
      </c>
      <c r="L43" s="5" t="s">
        <v>339</v>
      </c>
      <c r="M43" s="5" t="s">
        <v>340</v>
      </c>
      <c r="N43" s="94" t="s">
        <v>341</v>
      </c>
      <c r="O43" s="94"/>
    </row>
    <row r="44" spans="1:15" hidden="1">
      <c r="A44" s="70" t="s">
        <v>342</v>
      </c>
      <c r="B44" s="70" t="s">
        <v>186</v>
      </c>
      <c r="C44" s="94" t="s">
        <v>213</v>
      </c>
      <c r="D44" s="94">
        <v>2025</v>
      </c>
      <c r="E44" s="4">
        <v>45904</v>
      </c>
      <c r="F44" s="94" t="s">
        <v>343</v>
      </c>
      <c r="G44" s="94">
        <f t="shared" si="1"/>
        <v>11</v>
      </c>
      <c r="H44" s="94" t="e">
        <f t="array" aca="1" ref="H44" ca="1">_xlfn.IFS(G44&lt;12, "Manhã", G44&lt;18, "Tarde", G44&lt;=23, "Noite")</f>
        <v>#NAME?</v>
      </c>
      <c r="I44" s="94" t="s">
        <v>200</v>
      </c>
      <c r="J44" s="94" t="s">
        <v>191</v>
      </c>
      <c r="K44" s="5" t="s">
        <v>228</v>
      </c>
      <c r="L44" s="5" t="s">
        <v>339</v>
      </c>
      <c r="M44" s="5" t="s">
        <v>340</v>
      </c>
      <c r="N44" s="94" t="s">
        <v>344</v>
      </c>
      <c r="O44" s="94"/>
    </row>
    <row r="45" spans="1:15">
      <c r="A45" t="s">
        <v>345</v>
      </c>
      <c r="B45" s="94" t="s">
        <v>186</v>
      </c>
      <c r="C45" s="94" t="s">
        <v>187</v>
      </c>
      <c r="D45" s="94">
        <v>2026</v>
      </c>
      <c r="E45" s="86" t="s">
        <v>232</v>
      </c>
      <c r="F45" s="86" t="s">
        <v>346</v>
      </c>
      <c r="G45" s="94">
        <f t="shared" si="1"/>
        <v>18</v>
      </c>
      <c r="H45" s="94" t="e">
        <f t="array" aca="1" ref="H45" ca="1">_xlfn.IFS(G45&lt;12, "Manhã", G45&lt;18, "Tarde", G45&lt;=23, "Noite")</f>
        <v>#NAME?</v>
      </c>
      <c r="I45" s="94" t="s">
        <v>200</v>
      </c>
      <c r="J45" s="94" t="s">
        <v>191</v>
      </c>
      <c r="K45" s="5" t="s">
        <v>121</v>
      </c>
      <c r="L45" s="5" t="s">
        <v>121</v>
      </c>
      <c r="M45" s="5" t="s">
        <v>340</v>
      </c>
      <c r="N45" s="94" t="s">
        <v>347</v>
      </c>
      <c r="O45" s="94"/>
    </row>
    <row r="46" spans="1:15">
      <c r="A46" t="s">
        <v>348</v>
      </c>
      <c r="B46" t="s">
        <v>197</v>
      </c>
      <c r="C46" s="94" t="s">
        <v>198</v>
      </c>
      <c r="D46" s="94">
        <v>2025</v>
      </c>
      <c r="E46" s="4">
        <v>46020</v>
      </c>
      <c r="F46" s="94" t="s">
        <v>349</v>
      </c>
      <c r="G46" s="94">
        <f t="shared" si="1"/>
        <v>8</v>
      </c>
      <c r="H46" s="94" t="e">
        <f t="array" aca="1" ref="H46" ca="1">_xlfn.IFS(G46&lt;12, "Manhã", G46&lt;18, "Tarde", G46&lt;=23, "Noite")</f>
        <v>#NAME?</v>
      </c>
      <c r="I46" s="94" t="s">
        <v>190</v>
      </c>
      <c r="J46" s="94" t="s">
        <v>350</v>
      </c>
      <c r="K46" s="5" t="s">
        <v>351</v>
      </c>
      <c r="L46" s="5" t="s">
        <v>351</v>
      </c>
      <c r="M46" s="5" t="s">
        <v>352</v>
      </c>
      <c r="N46" s="94" t="s">
        <v>353</v>
      </c>
      <c r="O46" s="94"/>
    </row>
    <row r="47" spans="1:15">
      <c r="A47" t="s">
        <v>354</v>
      </c>
      <c r="B47" t="s">
        <v>186</v>
      </c>
      <c r="C47" t="s">
        <v>187</v>
      </c>
      <c r="D47" s="94">
        <v>2026</v>
      </c>
      <c r="E47" s="4">
        <v>46090</v>
      </c>
      <c r="F47" s="85">
        <v>0.31944444444444442</v>
      </c>
      <c r="G47" s="94">
        <f t="shared" si="1"/>
        <v>7</v>
      </c>
      <c r="H47" s="94" t="e">
        <f t="array" aca="1" ref="H47" ca="1">_xlfn.IFS(G47&lt;12, "Manhã", G47&lt;18, "Tarde", G47&lt;=23, "Noite")</f>
        <v>#NAME?</v>
      </c>
      <c r="I47" t="s">
        <v>190</v>
      </c>
      <c r="J47" t="s">
        <v>355</v>
      </c>
      <c r="K47" s="5" t="s">
        <v>228</v>
      </c>
      <c r="M47" s="74" t="s">
        <v>356</v>
      </c>
      <c r="N47" s="73" t="s">
        <v>357</v>
      </c>
    </row>
    <row r="48" spans="1:15">
      <c r="A48" t="s">
        <v>358</v>
      </c>
      <c r="B48" s="94" t="s">
        <v>186</v>
      </c>
      <c r="C48" s="94" t="s">
        <v>187</v>
      </c>
      <c r="D48" s="94">
        <v>2026</v>
      </c>
      <c r="E48" s="86" t="s">
        <v>242</v>
      </c>
      <c r="F48" s="86" t="s">
        <v>359</v>
      </c>
      <c r="G48" s="94">
        <f t="shared" si="1"/>
        <v>13</v>
      </c>
      <c r="H48" s="94" t="e">
        <f t="array" aca="1" ref="H48" ca="1">_xlfn.IFS(G48&lt;12, "Manhã", G48&lt;18, "Tarde", G48&lt;=23, "Noite")</f>
        <v>#NAME?</v>
      </c>
      <c r="I48" s="94" t="s">
        <v>190</v>
      </c>
      <c r="J48" s="94" t="s">
        <v>360</v>
      </c>
      <c r="K48" s="5" t="s">
        <v>228</v>
      </c>
      <c r="L48" s="5" t="s">
        <v>361</v>
      </c>
      <c r="M48" s="5" t="s">
        <v>362</v>
      </c>
      <c r="N48" s="94" t="s">
        <v>363</v>
      </c>
      <c r="O48" s="94"/>
    </row>
    <row r="49" spans="1:15">
      <c r="A49" t="s">
        <v>364</v>
      </c>
      <c r="B49" s="94" t="s">
        <v>186</v>
      </c>
      <c r="C49" s="94" t="s">
        <v>187</v>
      </c>
      <c r="D49" s="94">
        <v>2026</v>
      </c>
      <c r="E49" s="86" t="s">
        <v>188</v>
      </c>
      <c r="F49" s="86" t="s">
        <v>365</v>
      </c>
      <c r="G49" s="94">
        <f t="shared" si="1"/>
        <v>17</v>
      </c>
      <c r="H49" s="94" t="e">
        <f t="array" aca="1" ref="H49" ca="1">_xlfn.IFS(G49&lt;12, "Manhã", G49&lt;18, "Tarde", G49&lt;=23, "Noite")</f>
        <v>#NAME?</v>
      </c>
      <c r="I49" s="94" t="s">
        <v>366</v>
      </c>
      <c r="J49" s="94" t="s">
        <v>191</v>
      </c>
      <c r="K49" s="5" t="s">
        <v>228</v>
      </c>
      <c r="L49" s="5" t="s">
        <v>367</v>
      </c>
      <c r="M49" s="5" t="s">
        <v>352</v>
      </c>
      <c r="N49" s="94" t="s">
        <v>368</v>
      </c>
      <c r="O49" s="94"/>
    </row>
    <row r="50" spans="1:15">
      <c r="A50" t="s">
        <v>369</v>
      </c>
      <c r="B50" s="94" t="s">
        <v>186</v>
      </c>
      <c r="C50" s="94" t="s">
        <v>187</v>
      </c>
      <c r="D50" s="94">
        <v>2026</v>
      </c>
      <c r="E50" s="86" t="s">
        <v>188</v>
      </c>
      <c r="F50" s="86" t="s">
        <v>365</v>
      </c>
      <c r="G50" s="94">
        <f t="shared" si="1"/>
        <v>17</v>
      </c>
      <c r="H50" s="94" t="e">
        <f t="array" aca="1" ref="H50" ca="1">_xlfn.IFS(G50&lt;12, "Manhã", G50&lt;18, "Tarde", G50&lt;=23, "Noite")</f>
        <v>#NAME?</v>
      </c>
      <c r="I50" s="94" t="s">
        <v>366</v>
      </c>
      <c r="J50" s="94" t="s">
        <v>191</v>
      </c>
      <c r="K50" s="5" t="s">
        <v>228</v>
      </c>
      <c r="L50" s="5" t="s">
        <v>370</v>
      </c>
      <c r="M50" s="5" t="s">
        <v>352</v>
      </c>
      <c r="N50" s="94" t="s">
        <v>371</v>
      </c>
      <c r="O50" s="94"/>
    </row>
    <row r="51" spans="1:15">
      <c r="A51" t="s">
        <v>372</v>
      </c>
      <c r="B51" s="94" t="s">
        <v>186</v>
      </c>
      <c r="C51" s="94" t="s">
        <v>187</v>
      </c>
      <c r="D51" s="94">
        <v>2026</v>
      </c>
      <c r="E51" s="86" t="s">
        <v>188</v>
      </c>
      <c r="F51" s="86" t="s">
        <v>365</v>
      </c>
      <c r="G51" s="94">
        <f t="shared" si="1"/>
        <v>17</v>
      </c>
      <c r="H51" s="94" t="e">
        <f t="array" aca="1" ref="H51" ca="1">_xlfn.IFS(G51&lt;12, "Manhã", G51&lt;18, "Tarde", G51&lt;=23, "Noite")</f>
        <v>#NAME?</v>
      </c>
      <c r="I51" s="94" t="s">
        <v>366</v>
      </c>
      <c r="J51" s="94" t="s">
        <v>191</v>
      </c>
      <c r="K51" s="5" t="s">
        <v>228</v>
      </c>
      <c r="L51" s="5" t="s">
        <v>373</v>
      </c>
      <c r="M51" s="5" t="s">
        <v>352</v>
      </c>
      <c r="N51" s="94" t="s">
        <v>374</v>
      </c>
      <c r="O51" s="94"/>
    </row>
    <row r="52" spans="1:15">
      <c r="A52" t="s">
        <v>375</v>
      </c>
      <c r="B52" s="94" t="s">
        <v>186</v>
      </c>
      <c r="C52" s="94" t="s">
        <v>187</v>
      </c>
      <c r="D52" s="94">
        <v>2026</v>
      </c>
      <c r="E52" s="86" t="s">
        <v>188</v>
      </c>
      <c r="F52" s="86" t="s">
        <v>365</v>
      </c>
      <c r="G52" s="94">
        <f t="shared" si="1"/>
        <v>17</v>
      </c>
      <c r="H52" s="94" t="e">
        <f t="array" aca="1" ref="H52" ca="1">_xlfn.IFS(G52&lt;12, "Manhã", G52&lt;18, "Tarde", G52&lt;=23, "Noite")</f>
        <v>#NAME?</v>
      </c>
      <c r="I52" s="94" t="s">
        <v>366</v>
      </c>
      <c r="J52" s="94" t="s">
        <v>191</v>
      </c>
      <c r="K52" s="5" t="s">
        <v>228</v>
      </c>
      <c r="L52" s="5" t="s">
        <v>373</v>
      </c>
      <c r="M52" s="5" t="s">
        <v>352</v>
      </c>
      <c r="N52" s="94" t="s">
        <v>376</v>
      </c>
      <c r="O52" s="94"/>
    </row>
    <row r="53" spans="1:15" hidden="1">
      <c r="A53" t="s">
        <v>377</v>
      </c>
      <c r="B53" t="s">
        <v>197</v>
      </c>
      <c r="C53" s="94" t="s">
        <v>213</v>
      </c>
      <c r="D53" s="94">
        <v>2025</v>
      </c>
      <c r="E53" s="4">
        <v>45916</v>
      </c>
      <c r="F53" s="94" t="s">
        <v>378</v>
      </c>
      <c r="G53" s="94">
        <f t="shared" si="1"/>
        <v>19</v>
      </c>
      <c r="H53" s="94" t="e">
        <f t="array" aca="1" ref="H53" ca="1">_xlfn.IFS(G53&lt;12, "Manhã", G53&lt;18, "Tarde", G53&lt;=23, "Noite")</f>
        <v>#NAME?</v>
      </c>
      <c r="I53" s="94" t="s">
        <v>200</v>
      </c>
      <c r="J53" s="94" t="s">
        <v>191</v>
      </c>
      <c r="K53" s="5" t="s">
        <v>351</v>
      </c>
      <c r="L53" s="5" t="s">
        <v>351</v>
      </c>
      <c r="M53" s="5" t="s">
        <v>352</v>
      </c>
      <c r="N53" s="94" t="s">
        <v>379</v>
      </c>
      <c r="O53" s="94"/>
    </row>
    <row r="54" spans="1:15">
      <c r="A54" t="s">
        <v>380</v>
      </c>
      <c r="B54" s="94" t="s">
        <v>186</v>
      </c>
      <c r="C54" s="94" t="s">
        <v>187</v>
      </c>
      <c r="D54" s="94">
        <v>2026</v>
      </c>
      <c r="E54" s="86" t="s">
        <v>188</v>
      </c>
      <c r="F54" s="86" t="s">
        <v>365</v>
      </c>
      <c r="G54" s="94">
        <f t="shared" si="1"/>
        <v>17</v>
      </c>
      <c r="H54" s="94" t="e">
        <f t="array" aca="1" ref="H54" ca="1">_xlfn.IFS(G54&lt;12, "Manhã", G54&lt;18, "Tarde", G54&lt;=23, "Noite")</f>
        <v>#NAME?</v>
      </c>
      <c r="I54" s="94" t="s">
        <v>366</v>
      </c>
      <c r="J54" s="94" t="s">
        <v>191</v>
      </c>
      <c r="K54" s="5" t="s">
        <v>228</v>
      </c>
      <c r="L54" s="5" t="s">
        <v>373</v>
      </c>
      <c r="M54" s="5" t="s">
        <v>352</v>
      </c>
      <c r="N54" s="94" t="s">
        <v>381</v>
      </c>
      <c r="O54" s="94"/>
    </row>
    <row r="55" spans="1:15" hidden="1">
      <c r="A55" s="70" t="s">
        <v>382</v>
      </c>
      <c r="B55" s="70" t="s">
        <v>197</v>
      </c>
      <c r="C55" s="6" t="s">
        <v>213</v>
      </c>
      <c r="D55" s="94">
        <v>2023</v>
      </c>
      <c r="E55" s="4">
        <v>45247</v>
      </c>
      <c r="F55" s="94" t="s">
        <v>383</v>
      </c>
      <c r="G55" s="94">
        <f t="shared" si="1"/>
        <v>9</v>
      </c>
      <c r="H55" s="94" t="e">
        <f t="array" aca="1" ref="H55" ca="1">_xlfn.IFS(G55&lt;12, "Manhã", G55&lt;18, "Tarde", G55&lt;=23, "Noite")</f>
        <v>#NAME?</v>
      </c>
      <c r="I55" s="94" t="s">
        <v>200</v>
      </c>
      <c r="J55" s="94" t="s">
        <v>191</v>
      </c>
      <c r="K55" s="5" t="s">
        <v>228</v>
      </c>
      <c r="L55" s="5" t="s">
        <v>373</v>
      </c>
      <c r="M55" s="5" t="s">
        <v>384</v>
      </c>
      <c r="N55" s="94" t="s">
        <v>385</v>
      </c>
      <c r="O55" s="94"/>
    </row>
    <row r="56" spans="1:15">
      <c r="A56" t="s">
        <v>386</v>
      </c>
      <c r="B56" t="s">
        <v>186</v>
      </c>
      <c r="C56" s="94" t="s">
        <v>187</v>
      </c>
      <c r="D56" s="94">
        <v>2026</v>
      </c>
      <c r="E56" s="86" t="s">
        <v>387</v>
      </c>
      <c r="F56" s="86" t="s">
        <v>388</v>
      </c>
      <c r="G56" s="94">
        <f t="shared" si="1"/>
        <v>12</v>
      </c>
      <c r="H56" s="94" t="e">
        <f t="array" aca="1" ref="H56" ca="1">_xlfn.IFS(G56&lt;12, "Manhã", G56&lt;18, "Tarde", G56&lt;=23, "Noite")</f>
        <v>#NAME?</v>
      </c>
      <c r="I56" s="94" t="s">
        <v>190</v>
      </c>
      <c r="J56" s="94" t="s">
        <v>389</v>
      </c>
      <c r="K56" s="5" t="s">
        <v>351</v>
      </c>
      <c r="L56" s="5" t="s">
        <v>351</v>
      </c>
      <c r="M56" s="5" t="s">
        <v>352</v>
      </c>
      <c r="N56" s="94" t="s">
        <v>390</v>
      </c>
      <c r="O56" s="94"/>
    </row>
    <row r="57" spans="1:15">
      <c r="A57" s="70" t="s">
        <v>391</v>
      </c>
      <c r="B57" s="70" t="s">
        <v>186</v>
      </c>
      <c r="C57" s="94" t="s">
        <v>187</v>
      </c>
      <c r="D57" s="94">
        <v>2026</v>
      </c>
      <c r="E57" s="86" t="s">
        <v>266</v>
      </c>
      <c r="F57" s="86" t="s">
        <v>392</v>
      </c>
      <c r="G57" s="94">
        <f t="shared" si="1"/>
        <v>11</v>
      </c>
      <c r="H57" s="94" t="e">
        <f t="array" aca="1" ref="H57" ca="1">_xlfn.IFS(G57&lt;12, "Manhã", G57&lt;18, "Tarde", G57&lt;=23, "Noite")</f>
        <v>#NAME?</v>
      </c>
      <c r="I57" s="94" t="s">
        <v>190</v>
      </c>
      <c r="J57" s="94" t="s">
        <v>393</v>
      </c>
      <c r="K57" s="5" t="s">
        <v>228</v>
      </c>
      <c r="L57" s="5" t="s">
        <v>314</v>
      </c>
      <c r="M57" s="5" t="s">
        <v>394</v>
      </c>
      <c r="N57" s="94" t="s">
        <v>395</v>
      </c>
      <c r="O57" s="94"/>
    </row>
    <row r="58" spans="1:15">
      <c r="A58" t="s">
        <v>396</v>
      </c>
      <c r="B58" s="94" t="s">
        <v>186</v>
      </c>
      <c r="C58" s="94" t="s">
        <v>187</v>
      </c>
      <c r="D58" s="94">
        <v>2025</v>
      </c>
      <c r="E58" s="4">
        <v>45993</v>
      </c>
      <c r="F58" s="94" t="s">
        <v>397</v>
      </c>
      <c r="G58" s="94">
        <f t="shared" si="1"/>
        <v>17</v>
      </c>
      <c r="H58" s="94" t="e">
        <f t="array" aca="1" ref="H58" ca="1">_xlfn.IFS(G58&lt;12, "Manhã", G58&lt;18, "Tarde", G58&lt;=23, "Noite")</f>
        <v>#NAME?</v>
      </c>
      <c r="I58" s="94" t="s">
        <v>200</v>
      </c>
      <c r="J58" s="94" t="s">
        <v>191</v>
      </c>
      <c r="K58" s="5" t="s">
        <v>398</v>
      </c>
      <c r="L58" s="5" t="s">
        <v>399</v>
      </c>
      <c r="M58" s="5" t="s">
        <v>384</v>
      </c>
      <c r="N58" s="94" t="s">
        <v>400</v>
      </c>
      <c r="O58" s="94"/>
    </row>
    <row r="59" spans="1:15">
      <c r="A59" t="s">
        <v>401</v>
      </c>
      <c r="B59" s="94" t="s">
        <v>186</v>
      </c>
      <c r="C59" s="94" t="s">
        <v>187</v>
      </c>
      <c r="D59" s="94">
        <v>2026</v>
      </c>
      <c r="E59" s="86" t="s">
        <v>242</v>
      </c>
      <c r="F59" s="86" t="s">
        <v>402</v>
      </c>
      <c r="G59" s="94">
        <f t="shared" si="1"/>
        <v>12</v>
      </c>
      <c r="H59" s="94" t="e">
        <f t="array" aca="1" ref="H59" ca="1">_xlfn.IFS(G59&lt;12, "Manhã", G59&lt;18, "Tarde", G59&lt;=23, "Noite")</f>
        <v>#NAME?</v>
      </c>
      <c r="I59" s="94" t="s">
        <v>200</v>
      </c>
      <c r="J59" s="94" t="s">
        <v>191</v>
      </c>
      <c r="K59" s="5" t="s">
        <v>228</v>
      </c>
      <c r="L59" s="5" t="s">
        <v>399</v>
      </c>
      <c r="M59" s="5" t="s">
        <v>384</v>
      </c>
      <c r="N59" s="94" t="s">
        <v>403</v>
      </c>
      <c r="O59" s="94"/>
    </row>
    <row r="60" spans="1:15" hidden="1">
      <c r="A60" t="s">
        <v>404</v>
      </c>
      <c r="B60" t="s">
        <v>197</v>
      </c>
      <c r="C60" s="94" t="s">
        <v>213</v>
      </c>
      <c r="D60" s="94">
        <v>2023</v>
      </c>
      <c r="E60" s="29">
        <v>45230</v>
      </c>
      <c r="F60" s="30">
        <v>0.56805555555555554</v>
      </c>
      <c r="G60" s="94">
        <f t="shared" si="1"/>
        <v>13</v>
      </c>
      <c r="H60" s="94" t="e">
        <f t="array" aca="1" ref="H60" ca="1">_xlfn.IFS(G60&lt;12, "Manhã", G60&lt;18, "Tarde", G60&lt;=23, "Noite")</f>
        <v>#NAME?</v>
      </c>
      <c r="I60" s="94" t="s">
        <v>200</v>
      </c>
      <c r="J60" s="94" t="s">
        <v>191</v>
      </c>
      <c r="K60" s="5" t="s">
        <v>228</v>
      </c>
      <c r="L60" s="5" t="s">
        <v>228</v>
      </c>
      <c r="M60" s="31" t="s">
        <v>405</v>
      </c>
      <c r="N60" s="32" t="s">
        <v>406</v>
      </c>
    </row>
    <row r="61" spans="1:15">
      <c r="A61" t="s">
        <v>407</v>
      </c>
      <c r="B61" s="94" t="s">
        <v>186</v>
      </c>
      <c r="C61" s="94" t="s">
        <v>187</v>
      </c>
      <c r="D61" s="94">
        <v>2026</v>
      </c>
      <c r="E61" s="86" t="s">
        <v>408</v>
      </c>
      <c r="F61" s="86" t="s">
        <v>409</v>
      </c>
      <c r="G61" s="94">
        <f t="shared" si="1"/>
        <v>12</v>
      </c>
      <c r="H61" s="94" t="e">
        <f t="array" aca="1" ref="H61" ca="1">_xlfn.IFS(G61&lt;12, "Manhã", G61&lt;18, "Tarde", G61&lt;=23, "Noite")</f>
        <v>#NAME?</v>
      </c>
      <c r="I61" s="94" t="s">
        <v>200</v>
      </c>
      <c r="J61" s="94" t="s">
        <v>191</v>
      </c>
      <c r="K61" s="5" t="s">
        <v>398</v>
      </c>
      <c r="L61" s="5" t="s">
        <v>399</v>
      </c>
      <c r="M61" s="5" t="s">
        <v>384</v>
      </c>
      <c r="N61" s="94" t="s">
        <v>410</v>
      </c>
      <c r="O61" s="94"/>
    </row>
    <row r="62" spans="1:15">
      <c r="A62" t="s">
        <v>411</v>
      </c>
      <c r="B62" s="94" t="s">
        <v>186</v>
      </c>
      <c r="C62" s="94" t="s">
        <v>187</v>
      </c>
      <c r="D62" s="94">
        <v>2025</v>
      </c>
      <c r="E62" s="86" t="s">
        <v>412</v>
      </c>
      <c r="F62" s="86" t="s">
        <v>413</v>
      </c>
      <c r="G62" s="94">
        <f t="shared" si="1"/>
        <v>19</v>
      </c>
      <c r="H62" s="94" t="e">
        <f t="array" aca="1" ref="H62" ca="1">_xlfn.IFS(G62&lt;12, "Manhã", G62&lt;18, "Tarde", G62&lt;=23, "Noite")</f>
        <v>#NAME?</v>
      </c>
      <c r="I62" s="94" t="s">
        <v>200</v>
      </c>
      <c r="J62" s="94" t="s">
        <v>191</v>
      </c>
      <c r="K62" s="5" t="s">
        <v>414</v>
      </c>
      <c r="L62" s="5" t="s">
        <v>414</v>
      </c>
      <c r="M62" s="5" t="s">
        <v>415</v>
      </c>
      <c r="N62" s="94" t="s">
        <v>416</v>
      </c>
      <c r="O62" s="94"/>
    </row>
    <row r="63" spans="1:15">
      <c r="G63" s="94"/>
    </row>
    <row r="64" spans="1:15">
      <c r="G64" s="94"/>
    </row>
    <row r="65" spans="7:7">
      <c r="G65" s="94"/>
    </row>
    <row r="66" spans="7:7">
      <c r="G66" s="94"/>
    </row>
    <row r="67" spans="7:7">
      <c r="G67" s="94"/>
    </row>
    <row r="68" spans="7:7">
      <c r="G68" s="94"/>
    </row>
    <row r="69" spans="7:7">
      <c r="G69" s="94"/>
    </row>
    <row r="70" spans="7:7">
      <c r="G70" s="94"/>
    </row>
    <row r="71" spans="7:7">
      <c r="G71" s="94"/>
    </row>
    <row r="72" spans="7:7">
      <c r="G72" s="94"/>
    </row>
    <row r="73" spans="7:7">
      <c r="G73" s="94"/>
    </row>
    <row r="74" spans="7:7">
      <c r="G74" s="94"/>
    </row>
    <row r="75" spans="7:7">
      <c r="G75" s="94"/>
    </row>
    <row r="76" spans="7:7">
      <c r="G76" s="94"/>
    </row>
    <row r="77" spans="7:7">
      <c r="G77" s="94"/>
    </row>
    <row r="78" spans="7:7">
      <c r="G78" s="94"/>
    </row>
    <row r="79" spans="7:7">
      <c r="G79" s="94"/>
    </row>
    <row r="80" spans="7:7">
      <c r="G80" s="94"/>
    </row>
    <row r="81" spans="7:7">
      <c r="G81" s="94"/>
    </row>
    <row r="82" spans="7:7">
      <c r="G82" s="94"/>
    </row>
    <row r="83" spans="7:7">
      <c r="G83" s="94"/>
    </row>
    <row r="84" spans="7:7">
      <c r="G84" s="94"/>
    </row>
    <row r="85" spans="7:7">
      <c r="G85" s="94"/>
    </row>
    <row r="86" spans="7:7">
      <c r="G86" s="94"/>
    </row>
    <row r="87" spans="7:7">
      <c r="G87" s="94"/>
    </row>
  </sheetData>
  <autoFilter ref="A3:O62">
    <filterColumn colId="2">
      <filters>
        <filter val="Erro"/>
        <filter val="Publicado"/>
      </filters>
    </filterColumn>
    <sortState ref="A4:O62">
      <sortCondition ref="M3:M62"/>
    </sortState>
  </autoFilter>
  <mergeCells count="1">
    <mergeCell ref="A1:N1"/>
  </mergeCells>
  <conditionalFormatting sqref="B7:B8 B10 B14 B16:B18 B21 B27:B30 B32:B34 B36:B38 B41:B42 B45 B47:B51 B56:B59 C1:C1048576">
    <cfRule type="cellIs" dxfId="16" priority="1" operator="equal">
      <formula>"Erro"</formula>
    </cfRule>
    <cfRule type="cellIs" dxfId="15" priority="2" operator="equal">
      <formula>"Publicado"</formula>
    </cfRule>
    <cfRule type="cellIs" dxfId="14" priority="3" operator="equal">
      <formula>"Parado"</formula>
    </cfRule>
  </conditionalFormatting>
  <hyperlinks>
    <hyperlink ref="M4" r:id="rId1" display="https://app.powerbi.com/groups/838a4381-6a88-4235-a361-df7349246528?experience=power-bi"/>
    <hyperlink ref="M5" r:id="rId2" display="https://app.powerbi.com/groups/838a4381-6a88-4235-a361-df7349246528?experience=power-bi"/>
    <hyperlink ref="M6" r:id="rId3" display="https://app.powerbi.com/groups/838a4381-6a88-4235-a361-df7349246528?experience=power-bi"/>
    <hyperlink ref="K7" r:id="rId4" tooltip="LUCAS SILVA SPESSOTO SILVA SPESSOTO" display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/>
    <hyperlink ref="L7" r:id="rId5" tooltip="LUCAS SILVA SPESSOTO SILVA SPESSOTO" display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/>
    <hyperlink ref="M7" r:id="rId6" display="https://app.powerbi.com/groups/3ed8daac-5cc7-47f5-b4f3-adfe6deaacc7?experience=power-bi"/>
    <hyperlink ref="K8" r:id="rId7" tooltip="LUCAS SILVA SPESSOTO SILVA SPESSOTO" display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/>
    <hyperlink ref="L8" r:id="rId8" tooltip="LUCAS SILVA SPESSOTO SILVA SPESSOTO" display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/>
    <hyperlink ref="M8" r:id="rId9" display="https://app.powerbi.com/groups/3ed8daac-5cc7-47f5-b4f3-adfe6deaacc7?experience=power-bi"/>
    <hyperlink ref="K9" r:id="rId10" tooltip="LUCAS SILVA SPESSOTO SILVA SPESSOTO" display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/>
    <hyperlink ref="L9" r:id="rId11" tooltip="LUCAS SILVA SPESSOTO SILVA SPESSOTO" display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/>
    <hyperlink ref="M9" r:id="rId12" display="https://app.powerbi.com/groups/3ed8daac-5cc7-47f5-b4f3-adfe6deaacc7?experience=power-bi"/>
    <hyperlink ref="K10" r:id="rId13" tooltip="LUCAS SILVA SPESSOTO SILVA SPESSOTO" display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/>
    <hyperlink ref="L10" r:id="rId14" tooltip="LUCAS SILVA SPESSOTO SILVA SPESSOTO" display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/>
    <hyperlink ref="M10" r:id="rId15" display="https://app.powerbi.com/groups/3ed8daac-5cc7-47f5-b4f3-adfe6deaacc7?experience=power-bi"/>
    <hyperlink ref="K11" r:id="rId16" tooltip="BRUNO MASCARO WOTH" display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/>
    <hyperlink ref="L11" r:id="rId17" tooltip="BRUNO MASCARO WOTH" display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/>
    <hyperlink ref="M11" r:id="rId18" display="https://app.powerbi.com/groups/e12eb10e-3ad3-4583-baa8-c1b72159e21c?experience=power-bi"/>
    <hyperlink ref="K12" r:id="rId19" tooltip="BRUNO MASCARO WOTH" display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/>
    <hyperlink ref="L12" r:id="rId20" tooltip="BRUNO MASCARO WOTH" display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/>
    <hyperlink ref="M12" r:id="rId21" display="https://app.powerbi.com/groups/e12eb10e-3ad3-4583-baa8-c1b72159e21c?experience=power-bi"/>
    <hyperlink ref="K13" r:id="rId22"/>
    <hyperlink ref="L13" r:id="rId23" tooltip="Hugo Henrique Cardoso Santos" display="mailto:hugo.santos@empresaspioneiras.onmicrosoft.com?subject=Question%20about%20Performance%20Campanhas%20in%20Power%20BI&amp;body=%0A%0A%0AHere%27s%20the%20report%20link%3A%0Ahttps%3A%2F%2Fapp.powerbi.com%2Fgroups%2Fe12eb10e-3ad3-4583-baa8-c1b72159e21c%2Freports%2F3034b08e-4cbf-410a-a48f-f88699c56aa7%3Fctid%3D7308dcb6-c413-47dd-86ec-de575e4fe294%0AThanks!"/>
    <hyperlink ref="M13" r:id="rId24" display="https://app.powerbi.com/groups/e12eb10e-3ad3-4583-baa8-c1b72159e21c?experience=power-bi"/>
    <hyperlink ref="K14" r:id="rId25" tooltip="Hugo Henrique Cardoso Santos" display="mailto:hugo.santos@empresaspioneiras.onmicrosoft.com?subject=Question%20about%20Performance%20Campanhas%20in%20Power%20BI&amp;body=%0A%0A%0AHere%27s%20the%20report%20link%3A%0Ahttps%3A%2F%2Fapp.powerbi.com%2Fgroups%2Fe12eb10e-3ad3-4583-baa8-c1b72159e21c%2Freports%2F3034b08e-4cbf-410a-a48f-f88699c56aa7%3Fctid%3D7308dcb6-c413-47dd-86ec-de575e4fe294%0AThanks!"/>
    <hyperlink ref="L14" r:id="rId26" tooltip="Hugo Henrique Cardoso Santos" display="mailto:hugo.santos@empresaspioneiras.onmicrosoft.com?subject=Question%20about%20Performance%20Campanhas%20in%20Power%20BI&amp;body=%0A%0A%0AHere%27s%20the%20report%20link%3A%0Ahttps%3A%2F%2Fapp.powerbi.com%2Fgroups%2Fe12eb10e-3ad3-4583-baa8-c1b72159e21c%2Freports%2F3034b08e-4cbf-410a-a48f-f88699c56aa7%3Fctid%3D7308dcb6-c413-47dd-86ec-de575e4fe294%0AThanks!"/>
    <hyperlink ref="M14" r:id="rId27" display="https://app.powerbi.com/groups/e12eb10e-3ad3-4583-baa8-c1b72159e21c?experience=power-bi"/>
    <hyperlink ref="K15" r:id="rId28" tooltip="CAIO SIQUEIRA NOVO" display="mailto:caio.novo@eptv.com.br?subject=Question%20about%20Acompanhamento%20N%C3%BAmero%20Di%C3%A1rio%20-%20Exibidora%20in%20Power%20BI&amp;body=%0A%0A%0AHere%27s%20the%20report%20link%3A%0Ahttps%3A%2F%2Fapp.powerbi.com%2Fgroups%2F0b73efc3-c3cc-45f1-9240-519e55b13de5%2Freports%2F6cac744f-517b-4b2d-9b4a-6d134a29e855%3Fctid%3D7308dcb6-c413-47dd-86ec-de575e4fe294%0AThanks!"/>
    <hyperlink ref="L15" r:id="rId29" tooltip="CAIO SIQUEIRA NOVO" display="mailto:caio.novo@eptv.com.br?subject=Question%20about%20Acompanhamento%20N%C3%BAmero%20Di%C3%A1rio%20-%20Exibidora%20in%20Power%20BI&amp;body=%0A%0A%0AHere%27s%20the%20report%20link%3A%0Ahttps%3A%2F%2Fapp.powerbi.com%2Fgroups%2F0b73efc3-c3cc-45f1-9240-519e55b13de5%2Freports%2F6cac744f-517b-4b2d-9b4a-6d134a29e855%3Fctid%3D7308dcb6-c413-47dd-86ec-de575e4fe294%0AThanks!"/>
    <hyperlink ref="M15" r:id="rId30" display="https://app.powerbi.com/groups/0b73efc3-c3cc-45f1-9240-519e55b13de5?experience=power-bi"/>
    <hyperlink ref="K16" r:id="rId31"/>
    <hyperlink ref="M16" r:id="rId32" display="https://app.powerbi.com/groups/0b73efc3-c3cc-45f1-9240-519e55b13de5?experience=power-bi"/>
    <hyperlink ref="K17" r:id="rId33"/>
    <hyperlink ref="M17" r:id="rId34" display="https://app.powerbi.com/groups/0b73efc3-c3cc-45f1-9240-519e55b13de5?experience=power-bi"/>
    <hyperlink ref="K18" r:id="rId35" tooltip="CAIO SIQUEIRA NOVO" display="mailto:caio.novo@eptv.com.br?subject=Question%20about%20atualizacao_tab_precos%20in%20Power%20BI&amp;body=%0A%0A%0AHere%27s%20the%20report%20link%3A%0Ahttps%3A%2F%2Fapp.powerbi.com%2Fgroups%2F0b73efc3-c3cc-45f1-9240-519e55b13de5%2Freports%2F4e1339f6-5518-4cee-98dc-7f5ff61b6793%3Fctid%3D7308dcb6-c413-47dd-86ec-de575e4fe294%0AThanks!"/>
    <hyperlink ref="L18" r:id="rId36" tooltip="CAIO SIQUEIRA NOVO" display="mailto:caio.novo@eptv.com.br?subject=Question%20about%20atualizacao_tab_precos%20in%20Power%20BI&amp;body=%0A%0A%0AHere%27s%20the%20report%20link%3A%0Ahttps%3A%2F%2Fapp.powerbi.com%2Fgroups%2F0b73efc3-c3cc-45f1-9240-519e55b13de5%2Freports%2F4e1339f6-5518-4cee-98dc-7f5ff61b6793%3Fctid%3D7308dcb6-c413-47dd-86ec-de575e4fe294%0AThanks!"/>
    <hyperlink ref="M18" r:id="rId37" display="https://app.powerbi.com/groups/0b73efc3-c3cc-45f1-9240-519e55b13de5?experience=power-bi"/>
    <hyperlink ref="K19" r:id="rId38" tooltip="CAIO SIQUEIRA NOVO" display="mailto:caio.novo@eptv.com.br?subject=Question%20about%20categorias_branco%20in%20Power%20BI&amp;body=%0A%0A%0AHere%27s%20the%20report%20link%3A%0Ahttps%3A%2F%2Fapp.powerbi.com%2Fgroups%2F0b73efc3-c3cc-45f1-9240-519e55b13de5%2Freports%2F5b2320e8-73a3-4ad3-b74e-af633d57ac44%3Fctid%3D7308dcb6-c413-47dd-86ec-de575e4fe294%0AThanks!"/>
    <hyperlink ref="L19" r:id="rId39" tooltip="CAIO SIQUEIRA NOVO" display="mailto:caio.novo@eptv.com.br?subject=Question%20about%20categorias_branco%20in%20Power%20BI&amp;body=%0A%0A%0AHere%27s%20the%20report%20link%3A%0Ahttps%3A%2F%2Fapp.powerbi.com%2Fgroups%2F0b73efc3-c3cc-45f1-9240-519e55b13de5%2Freports%2F5b2320e8-73a3-4ad3-b74e-af633d57ac44%3Fctid%3D7308dcb6-c413-47dd-86ec-de575e4fe294%0AThanks!"/>
    <hyperlink ref="M19" r:id="rId40" display="https://app.powerbi.com/groups/0b73efc3-c3cc-45f1-9240-519e55b13de5?experience=power-bi"/>
    <hyperlink ref="K20" r:id="rId41" tooltip="CAIO SIQUEIRA NOVO" display="mailto:caio.novo@eptv.com.br?subject=Question%20about%20categorias_branco%20in%20Power%20BI&amp;body=%0A%0A%0AHere%27s%20the%20report%20link%3A%0Ahttps%3A%2F%2Fapp.powerbi.com%2Fgroups%2F0b73efc3-c3cc-45f1-9240-519e55b13de5%2Freports%2F5b2320e8-73a3-4ad3-b74e-af633d57ac44%3Fctid%3D7308dcb6-c413-47dd-86ec-de575e4fe294%0AThanks!"/>
    <hyperlink ref="L20" r:id="rId42" tooltip="CAIO SIQUEIRA NOVO" display="mailto:caio.novo@eptv.com.br?subject=Question%20about%20categorias_branco%20in%20Power%20BI&amp;body=%0A%0A%0AHere%27s%20the%20report%20link%3A%0Ahttps%3A%2F%2Fapp.powerbi.com%2Fgroups%2F0b73efc3-c3cc-45f1-9240-519e55b13de5%2Freports%2F5b2320e8-73a3-4ad3-b74e-af633d57ac44%3Fctid%3D7308dcb6-c413-47dd-86ec-de575e4fe294%0AThanks!"/>
    <hyperlink ref="M20" r:id="rId43" display="https://app.powerbi.com/groups/0b73efc3-c3cc-45f1-9240-519e55b13de5?experience=power-bi"/>
    <hyperlink ref="K21" r:id="rId44" tooltip="BI Grupo EP" display="mailto:BI_GrupoEP@eptv.com.br?subject=Question%20about%20desempenho_comercial%20in%20Power%20BI&amp;body=%0A%0A%0AHere%27s%20the%20report%20link%3A%0Ahttps%3A%2F%2Fapp.powerbi.com%2Fgroups%2F0b73efc3-c3cc-45f1-9240-519e55b13de5%2Freports%2F2afb6ada-d06d-4b08-99f6-43f2aa233dcf%3Fctid%3D7308dcb6-c413-47dd-86ec-de575e4fe294%0AThanks!"/>
    <hyperlink ref="M21" r:id="rId45" display="https://app.powerbi.com/groups/0b73efc3-c3cc-45f1-9240-519e55b13de5?experience=power-bi"/>
    <hyperlink ref="K22" r:id="rId46"/>
    <hyperlink ref="M22" r:id="rId47" display="https://app.powerbi.com/groups/0b73efc3-c3cc-45f1-9240-519e55b13de5?experience=power-bi"/>
    <hyperlink ref="K23" r:id="rId48" tooltip="CAIO SIQUEIRA NOVO" display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/>
    <hyperlink ref="L23" r:id="rId49" tooltip="CAIO SIQUEIRA NOVO" display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/>
    <hyperlink ref="M23" r:id="rId50" display="https://app.powerbi.com/groups/0b73efc3-c3cc-45f1-9240-519e55b13de5?experience=power-bi"/>
    <hyperlink ref="K24" r:id="rId51" tooltip="CAIO SIQUEIRA NOVO" display="mailto:caio.novo@eptv.com.br?subject=Question%20about%20mapa_cnaes%20in%20Power%20BI&amp;body=%0A%0A%0AHere%27s%20the%20report%20link%3A%0Ahttps%3A%2F%2Fapp.powerbi.com%2Fgroups%2F0b73efc3-c3cc-45f1-9240-519e55b13de5%2Freports%2Fe8bdb7c9-13de-4a14-a22a-89571f078e8d%3Fctid%3D7308dcb6-c413-47dd-86ec-de575e4fe294%0AThanks!"/>
    <hyperlink ref="L24" r:id="rId52" tooltip="CAIO SIQUEIRA NOVO" display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/>
    <hyperlink ref="M24" r:id="rId53" display="https://app.powerbi.com/groups/0b73efc3-c3cc-45f1-9240-519e55b13de5?experience=power-bi"/>
    <hyperlink ref="K25" r:id="rId54" tooltip="CAIO SIQUEIRA NOVO" display="mailto:caio.novo@eptv.com.br?subject=Question%20about%20Monitoramento%20Em%20Desenvolvimento%20v3%20in%20Power%20BI&amp;body=%0A%0A%0AHere%27s%20the%20report%20link%3A%0Ahttps%3A%2F%2Fapp.powerbi.com%2Fgroups%2F0b73efc3-c3cc-45f1-9240-519e55b13de5%2Freports%2F042117a0-d77e-4ebc-b746-e6347c237862%3Fctid%3D7308dcb6-c413-47dd-86ec-de575e4fe294%0AThanks!"/>
    <hyperlink ref="L25" r:id="rId55" tooltip="CAIO SIQUEIRA NOVO" display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/>
    <hyperlink ref="M25" r:id="rId56" display="https://app.powerbi.com/groups/0b73efc3-c3cc-45f1-9240-519e55b13de5?experience=power-bi"/>
    <hyperlink ref="K26" r:id="rId57" tooltip="CAIO SIQUEIRA NOVO" display="mailto:caio.novo@eptv.com.br?subject=Question%20about%20Monitoramento%20Mercado%20Publicit%C3%A1rio%20in%20Power%20BI&amp;body=%0A%0A%0AHere%27s%20the%20report%20link%3A%0Ahttps%3A%2F%2Fapp.powerbi.com%2Fgroups%2F0b73efc3-c3cc-45f1-9240-519e55b13de5%2Freports%2F443cb954-f369-4809-88bd-a164b0533d5d%3Fctid%3D7308dcb6-c413-47dd-86ec-de575e4fe294%0AThanks!"/>
    <hyperlink ref="L26" r:id="rId58" tooltip="CAIO SIQUEIRA NOVO" display="mailto:caio.novo@eptv.com.br?subject=Question%20about%20mapa_calor_cidades%20in%20Power%20BI&amp;body=%0A%0A%0AHere%27s%20the%20report%20link%3A%0Ahttps%3A%2F%2Fapp.powerbi.com%2Fgroups%2F0b73efc3-c3cc-45f1-9240-519e55b13de5%2Freports%2F2175a380-1701-488d-b49f-7d64ce213be1%3Fctid%3D7308dcb6-c413-47dd-86ec-de575e4fe294%0AThanks!"/>
    <hyperlink ref="M26" r:id="rId59" display="https://app.powerbi.com/groups/0b73efc3-c3cc-45f1-9240-519e55b13de5?experience=power-bi"/>
    <hyperlink ref="K27" r:id="rId60" tooltip="JORGE KENDI NAKANO" display="mailto:kendi.nakano@eptv.com.br?subject=Question%20about%20monitoramento_crowley%20in%20Power%20BI&amp;body=%0A%0A%0AHere%27s%20the%20report%20link%3A%0Ahttps%3A%2F%2Fapp.powerbi.com%2Fgroups%2F0b73efc3-c3cc-45f1-9240-519e55b13de5%2Freports%2F75c1d0a3-633a-4664-a63d-db4af4da3054%3Fctid%3D7308dcb6-c413-47dd-86ec-de575e4fe294%0AThanks!"/>
    <hyperlink ref="L27" r:id="rId61" tooltip="JORGE KENDI NAKANO" display="mailto:kendi.nakano@eptv.com.br?subject=Question%20about%20monitoramento_crowley%20in%20Power%20BI&amp;body=%0A%0A%0AHere%27s%20the%20report%20link%3A%0Ahttps%3A%2F%2Fapp.powerbi.com%2Fgroups%2F0b73efc3-c3cc-45f1-9240-519e55b13de5%2Freports%2F75c1d0a3-633a-4664-a63d-db4af4da3054%3Fctid%3D7308dcb6-c413-47dd-86ec-de575e4fe294%0AThanks!"/>
    <hyperlink ref="M27" r:id="rId62" display="https://app.powerbi.com/groups/0b73efc3-c3cc-45f1-9240-519e55b13de5?experience=power-bi"/>
    <hyperlink ref="K28" r:id="rId63" tooltip="CAIO SIQUEIRA NOVO" display="mailto:caio.novo@eptv.com.br?subject=Question%20about%20monitoramento_mercado_publicitario_v2%20in%20Power%20BI&amp;body=%0A%0A%0AHere%27s%20the%20report%20link%3A%0Ahttps%3A%2F%2Fapp.powerbi.com%2Fgroups%2F0b73efc3-c3cc-45f1-9240-519e55b13de5%2Freports%2F8ad3ce2b-ffef-4bfc-be73-332bc52cf050%3Fctid%3D7308dcb6-c413-47dd-86ec-de575e4fe294%0AThanks!"/>
    <hyperlink ref="L28" r:id="rId64" tooltip="CAIO SIQUEIRA NOVO" display="mailto:caio.novo@eptv.com.br?subject=Question%20about%20monitoramento_mercado_publicitario_v2%20in%20Power%20BI&amp;body=%0A%0A%0AHere%27s%20the%20report%20link%3A%0Ahttps%3A%2F%2Fapp.powerbi.com%2Fgroups%2F0b73efc3-c3cc-45f1-9240-519e55b13de5%2Freports%2F8ad3ce2b-ffef-4bfc-be73-332bc52cf050%3Fctid%3D7308dcb6-c413-47dd-86ec-de575e4fe294%0AThanks!"/>
    <hyperlink ref="M28" r:id="rId65" display="https://app.powerbi.com/groups/0b73efc3-c3cc-45f1-9240-519e55b13de5?experience=power-bi"/>
    <hyperlink ref="K29" r:id="rId66" tooltip="CAIO SIQUEIRA NOVO" display="mailto:caio.novo@eptv.com.br?subject=Question%20about%20painel_executivos%20in%20Power%20BI&amp;body=%0A%0A%0AHere%27s%20the%20report%20link%3A%0Ahttps%3A%2F%2Fapp.powerbi.com%2Fgroups%2F0b73efc3-c3cc-45f1-9240-519e55b13de5%2Freports%2Fc9168679-b7c7-42fa-b5b5-5e2685f04089%3Fctid%3D7308dcb6-c413-47dd-86ec-de575e4fe294%0AThanks!"/>
    <hyperlink ref="L29" r:id="rId67" tooltip="CAIO SIQUEIRA NOVO" display="mailto:caio.novo@eptv.com.br?subject=Question%20about%20painel_executivos%20in%20Power%20BI&amp;body=%0A%0A%0AHere%27s%20the%20report%20link%3A%0Ahttps%3A%2F%2Fapp.powerbi.com%2Fgroups%2F0b73efc3-c3cc-45f1-9240-519e55b13de5%2Freports%2Fc9168679-b7c7-42fa-b5b5-5e2685f04089%3Fctid%3D7308dcb6-c413-47dd-86ec-de575e4fe294%0AThanks!"/>
    <hyperlink ref="M29" r:id="rId68" display="https://app.powerbi.com/groups/0b73efc3-c3cc-45f1-9240-519e55b13de5?experience=power-bi"/>
    <hyperlink ref="K30" r:id="rId69" tooltip="BI Grupo EP" display="mailto:BI_GrupoEP@eptv.com.br?subject=Question%20about%20Previsao_PBI%20in%20Power%20BI&amp;body=%0A%0A%0AHere%27s%20the%20report%20link%3A%0Ahttps%3A%2F%2Fapp.powerbi.com%2Fgroups%2F0b73efc3-c3cc-45f1-9240-519e55b13de5%2Freports%2F660a214f-c80f-4fca-9b0b-0e9206688116%3Fctid%3D7308dcb6-c413-47dd-86ec-de575e4fe294%0AThanks!"/>
    <hyperlink ref="L30" r:id="rId70"/>
    <hyperlink ref="M30" r:id="rId71" display="https://app.powerbi.com/groups/0b73efc3-c3cc-45f1-9240-519e55b13de5?experience=power-bi"/>
    <hyperlink ref="K31" r:id="rId72" tooltip="CAIO SIQUEIRA NOVO" display="mailto:caio.novo@eptv.com.br?subject=Question%20about%20Vendas%20Multimeios%20in%20Power%20BI&amp;body=%0A%0A%0AHere%27s%20the%20report%20link%3A%0Ahttps%3A%2F%2Fapp.powerbi.com%2Fgroups%2F0b73efc3-c3cc-45f1-9240-519e55b13de5%2Freports%2Fa5dc3af9-6577-4906-9fb9-38cb60c3b878%3Fctid%3D7308dcb6-c413-47dd-86ec-de575e4fe294%0AThanks!"/>
    <hyperlink ref="L31" r:id="rId73" tooltip="CAIO SIQUEIRA NOVO" display="mailto:caio.novo@eptv.com.br?subject=Question%20about%20Vendas%20Multimeios%20in%20Power%20BI&amp;body=%0A%0A%0AHere%27s%20the%20report%20link%3A%0Ahttps%3A%2F%2Fapp.powerbi.com%2Fgroups%2F0b73efc3-c3cc-45f1-9240-519e55b13de5%2Freports%2Fa5dc3af9-6577-4906-9fb9-38cb60c3b878%3Fctid%3D7308dcb6-c413-47dd-86ec-de575e4fe294%0AThanks!"/>
    <hyperlink ref="M31" r:id="rId74" display="https://app.powerbi.com/groups/0b73efc3-c3cc-45f1-9240-519e55b13de5?experience=power-bi"/>
    <hyperlink ref="K32" r:id="rId75"/>
    <hyperlink ref="M32" r:id="rId76" display="https://app.powerbi.com/groups/0b73efc3-c3cc-45f1-9240-519e55b13de5?experience=power-bi"/>
    <hyperlink ref="K33" r:id="rId77"/>
    <hyperlink ref="L33" r:id="rId78" tooltip="CAIO SIQUEIRA NOVO" display="mailto:caio.novo@eptv.com.br?subject=Question%20about%20Vendas%20Multimeios%20in%20Power%20BI&amp;body=%0A%0A%0AHere%27s%20the%20report%20link%3A%0Ahttps%3A%2F%2Fapp.powerbi.com%2Fgroups%2F0b73efc3-c3cc-45f1-9240-519e55b13de5%2Freports%2Fa5dc3af9-6577-4906-9fb9-38cb60c3b878%3Fctid%3D7308dcb6-c413-47dd-86ec-de575e4fe294%0AThanks!"/>
    <hyperlink ref="M33" r:id="rId79" display="https://app.powerbi.com/groups/0b73efc3-c3cc-45f1-9240-519e55b13de5?experience=power-bi"/>
    <hyperlink ref="N33" r:id="rId80"/>
    <hyperlink ref="K34" r:id="rId81" tooltip="FELIPE PEREIRA CORREIA" display="mailto:felipe.correia@eptv.com.br?subject=Question%20about%20Calend%C3%A1rio%20Corporativo%20PBI%20in%20Power%20BI&amp;body=%0A%0A%0AHere%27s%20the%20report%20link%3A%0Ahttps%3A%2F%2Fapp.powerbi.com%2Fgroups%2F43774005-3ad4-4a71-a12c-c70f24edf487%2Freports%2F6f5b4d09-1f91-4f25-83cf-a61b246e0f73%3Fctid%3D7308dcb6-c413-47dd-86ec-de575e4fe294%0AThanks!"/>
    <hyperlink ref="L34" r:id="rId82" tooltip="FELIPE PEREIRA CORREIA" display="mailto:felipe.correia@eptv.com.br?subject=Question%20about%20Calend%C3%A1rio%20Corporativo%20PBI%20in%20Power%20BI&amp;body=%0A%0A%0AHere%27s%20the%20report%20link%3A%0Ahttps%3A%2F%2Fapp.powerbi.com%2Fgroups%2F43774005-3ad4-4a71-a12c-c70f24edf487%2Freports%2F6f5b4d09-1f91-4f25-83cf-a61b246e0f73%3Fctid%3D7308dcb6-c413-47dd-86ec-de575e4fe294%0AThanks!"/>
    <hyperlink ref="M34" r:id="rId83" display="https://app.powerbi.com/groups/43774005-3ad4-4a71-a12c-c70f24edf487?experience=power-bi"/>
    <hyperlink ref="K35" r:id="rId84"/>
    <hyperlink ref="L35" r:id="rId85"/>
    <hyperlink ref="M35" r:id="rId86" display="https://app.powerbi.com/groups/fad50932-b25d-41c1-b165-1c1d0af6b5ad?experience=power-bi"/>
    <hyperlink ref="K36" r:id="rId87"/>
    <hyperlink ref="M36" r:id="rId88" display="https://app.powerbi.com/groups/6d38c256-3ede-43cc-83c5-3510a3e6bc0c?experience=power-bi"/>
    <hyperlink ref="K37" r:id="rId89"/>
    <hyperlink ref="L37" r:id="rId90"/>
    <hyperlink ref="M37" r:id="rId91" display="https://app.powerbi.com/groups/fad50932-b25d-41c1-b165-1c1d0af6b5ad?experience=power-bi"/>
    <hyperlink ref="L38" r:id="rId92"/>
    <hyperlink ref="M38" r:id="rId93" display="https://app.powerbi.com/groups/fad50932-b25d-41c1-b165-1c1d0af6b5ad?experience=power-bi"/>
    <hyperlink ref="N38" r:id="rId94"/>
    <hyperlink ref="K39" r:id="rId95" tooltip="MARILENE ALVES MARTINS PIRES" display="mailto:marilene.pires@eptv.com.br?subject=Question%20about%20Resultado_Eventos_v01%20in%20Power%20BI&amp;body=%0A%0A%0AHere%27s%20the%20report%20link%3A%0Ahttps%3A%2F%2Fapp.powerbi.com%2Fgroups%2Ffad50932-b25d-41c1-b165-1c1d0af6b5ad%2Freports%2Ff6ab3336-974c-4092-915d-6385c8aa7e9f%3Fctid%3D7308dcb6-c413-47dd-86ec-de575e4fe294%0AThanks!"/>
    <hyperlink ref="L39" r:id="rId96"/>
    <hyperlink ref="M39" r:id="rId97" display="https://app.powerbi.com/groups/fad50932-b25d-41c1-b165-1c1d0af6b5ad?experience=power-bi"/>
    <hyperlink ref="K40" r:id="rId98" tooltip="PRISCILA FREDERICO SILVA FERNANDES" display="mailto:priscila.silva@eptv.com.br?subject=Question%20about%20Resumo%20Investimentos%20in%20Power%20BI&amp;body=%0A%0A%0AHere%27s%20the%20report%20link%3A%0Ahttps%3A%2F%2Fapp.powerbi.com%2Fgroups%2Ffad50932-b25d-41c1-b165-1c1d0af6b5ad%2Freports%2F286ec12f-9f1a-4d17-99ed-93fefd19ffa3%3Fctid%3D7308dcb6-c413-47dd-86ec-de575e4fe294%0AThanks!"/>
    <hyperlink ref="L40" r:id="rId99"/>
    <hyperlink ref="M40" r:id="rId100" display="https://app.powerbi.com/groups/fad50932-b25d-41c1-b165-1c1d0af6b5ad?experience=power-bi"/>
    <hyperlink ref="K41" r:id="rId101" tooltip="PRISCILA FREDERICO SILVA FERNANDES" display="mailto:priscila.silva@eptv.com.br?subject=Question%20about%20Painel%20de%20Vendas%20in%20Power%20BI&amp;body=%0A%0A%0AHere%27s%20the%20report%20link%3A%0Ahttps%3A%2F%2Fapp.powerbi.com%2Fgroups%2Ffad50932-b25d-41c1-b165-1c1d0af6b5ad%2Freports%2Fabcb24cc-551b-437f-8beb-c7c0609d8e4f%3Fctid%3D7308dcb6-c413-47dd-86ec-de575e4fe294%0AThanks!"/>
    <hyperlink ref="L41" r:id="rId102"/>
    <hyperlink ref="M41" r:id="rId103" display="https://app.powerbi.com/groups/fad50932-b25d-41c1-b165-1c1d0af6b5ad?experience=power-bi"/>
    <hyperlink ref="K42" r:id="rId104" tooltip="PRISCILA FREDERICO SILVA FERNANDES" display="mailto:priscila.silva@eptv.com.br?subject=Question%20about%20Sumario%20Executivo%20Verticais%20in%20Power%20BI&amp;body=%0A%0A%0AHere%27s%20the%20report%20link%3A%0Ahttps%3A%2F%2Fapp.powerbi.com%2Fgroups%2Ffad50932-b25d-41c1-b165-1c1d0af6b5ad%2Freports%2Ff82d75a0-5f3d-4fb5-aef6-c126e0343e73%3Fctid%3D7308dcb6-c413-47dd-86ec-de575e4fe294%0AThanks!"/>
    <hyperlink ref="M42" r:id="rId105" display="https://app.powerbi.com/groups/fad50932-b25d-41c1-b165-1c1d0af6b5ad?experience=power-bi"/>
    <hyperlink ref="K43" r:id="rId106"/>
    <hyperlink ref="L43" r:id="rId107"/>
    <hyperlink ref="M43" r:id="rId108" display="https://app.powerbi.com/groups/571a4a31-79dc-4124-91a1-4130706f9cc2?experience=power-bi"/>
    <hyperlink ref="K44" r:id="rId109"/>
    <hyperlink ref="L44" r:id="rId110"/>
    <hyperlink ref="M44" r:id="rId111" display="https://app.powerbi.com/groups/571a4a31-79dc-4124-91a1-4130706f9cc2?experience=power-bi"/>
    <hyperlink ref="K45" r:id="rId112" tooltip="BRUNO MASCARO WOTH" display="mailto:bruno.woth@eptv.com.br?subject=Question%20about%20CALENDARIOJORNALISMO%20in%20Power%20BI&amp;body=%0A%0A%0AHere%27s%20the%20report%20link%3A%0Ahttps%3A%2F%2Fapp.powerbi.com%2Fgroups%2F571a4a31-79dc-4124-91a1-4130706f9cc2%2Freports%2F2e7f3edf-a20e-4e06-95b2-2c723eada0cd%3Fctid%3D7308dcb6-c413-47dd-86ec-de575e4fe294%0AThanks!"/>
    <hyperlink ref="L45" r:id="rId113" tooltip="BRUNO MASCARO WOTH" display="mailto:bruno.woth@eptv.com.br?subject=Question%20about%20CALENDARIOJORNALISMO%20in%20Power%20BI&amp;body=%0A%0A%0AHere%27s%20the%20report%20link%3A%0Ahttps%3A%2F%2Fapp.powerbi.com%2Fgroups%2F571a4a31-79dc-4124-91a1-4130706f9cc2%2Freports%2F2e7f3edf-a20e-4e06-95b2-2c723eada0cd%3Fctid%3D7308dcb6-c413-47dd-86ec-de575e4fe294%0AThanks!"/>
    <hyperlink ref="M45" r:id="rId114" display="https://app.powerbi.com/groups/571a4a31-79dc-4124-91a1-4130706f9cc2?experience=power-bi"/>
    <hyperlink ref="K46" r:id="rId115" tooltip="BI Grupo EP" display="mailto:BI_GrupoEP@eptv.com.br?subject=Question%20about%20Desempenho%20Programa%C3%A7%C3%A3o%20in%20Power%20BI&amp;body=%0A%0A%0AHere%27s%20the%20report%20link%3A%0Ahttps%3A%2F%2Fapp.powerbi.com%2Fgroups%2F1abc4333-9f61-43db-8926-59ed05976d2a%2Freports%2F58e539c5-41f3-48d2-911b-b91404486c8c%3Fctid%3D7308dcb6-c413-47dd-86ec-de575e4fe294%0AThanks!"/>
    <hyperlink ref="L46" r:id="rId116" tooltip="FELIPE PEREIRA CORREIA" display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/>
    <hyperlink ref="M46" r:id="rId117" display="https://app.powerbi.com/groups/1abc4333-9f61-43db-8926-59ed05976d2a?experience=power-bi"/>
    <hyperlink ref="K47" r:id="rId118" tooltip="BI Grupo EP" display="mailto:BI_GrupoEP@eptv.com.br?subject=Question%20about%20Desempenho%20Programa%C3%A7%C3%A3o%20in%20Power%20BI&amp;body=%0A%0A%0AHere%27s%20the%20report%20link%3A%0Ahttps%3A%2F%2Fapp.powerbi.com%2Fgroups%2F1abc4333-9f61-43db-8926-59ed05976d2a%2Freports%2F58e539c5-41f3-48d2-911b-b91404486c8c%3Fctid%3D7308dcb6-c413-47dd-86ec-de575e4fe294%0AThanks!"/>
    <hyperlink ref="N47" r:id="rId119"/>
    <hyperlink ref="K48" r:id="rId120"/>
    <hyperlink ref="M48" r:id="rId121" display="https://app.powerbi.com/groups/35450d52-832b-4557-98f5-f2f88da17c40?experience=power-bi"/>
    <hyperlink ref="M49" r:id="rId122" display="https://app.powerbi.com/groups/1abc4333-9f61-43db-8926-59ed05976d2a?experience=power-bi"/>
    <hyperlink ref="M50" r:id="rId123" display="https://app.powerbi.com/groups/1abc4333-9f61-43db-8926-59ed05976d2a?experience=power-bi"/>
    <hyperlink ref="K51" r:id="rId124" tooltip="BI Grupo EP" display="mailto:BI_GrupoEP@eptv.com.br?subject=Question%20about%20Desempenho%20Programa%C3%A7%C3%A3o%20in%20Power%20BI&amp;body=%0A%0A%0AHere%27s%20the%20report%20link%3A%0Ahttps%3A%2F%2Fapp.powerbi.com%2Fgroups%2F1abc4333-9f61-43db-8926-59ed05976d2a%2Freports%2F58e539c5-41f3-48d2-911b-b91404486c8c%3Fctid%3D7308dcb6-c413-47dd-86ec-de575e4fe294%0AThanks!"/>
    <hyperlink ref="M51" r:id="rId125" display="https://app.powerbi.com/groups/1abc4333-9f61-43db-8926-59ed05976d2a?experience=power-bi"/>
    <hyperlink ref="K52" r:id="rId126" tooltip="FELIPE PEREIRA CORREIA" display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/>
    <hyperlink ref="L52" r:id="rId127" tooltip="FELIPE PEREIRA CORREIA" display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/>
    <hyperlink ref="M52" r:id="rId128" display="https://app.powerbi.com/groups/1abc4333-9f61-43db-8926-59ed05976d2a?experience=power-bi"/>
    <hyperlink ref="K53" r:id="rId129" tooltip="FELIPE PEREIRA CORREIA" display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/>
    <hyperlink ref="L53" r:id="rId130" tooltip="FELIPE PEREIRA CORREIA" display="mailto:felipe.correia@eptv.com.br?subject=Question%20about%20Calend%C3%A1rio%20de%20Programa%C3%A7%C3%A3o_2025%20in%20Power%20BI&amp;body=%0A%0A%0AHere%27s%20the%20report%20link%3A%0Ahttps%3A%2F%2Fapp.powerbi.com%2Fgroups%2F1abc4333-9f61-43db-8926-59ed05976d2a%2Freports%2F39bfe539-818e-4539-aef2-ffe90caa3280%3Fctid%3D7308dcb6-c413-47dd-86ec-de575e4fe294%0AThanks!"/>
    <hyperlink ref="M53" r:id="rId131" display="https://app.powerbi.com/groups/1abc4333-9f61-43db-8926-59ed05976d2a?experience=power-bi"/>
    <hyperlink ref="K54" r:id="rId132" tooltip="BI Grupo EP" display="mailto:BI_GrupoEP@eptv.com.br?subject=Question%20about%20Desempenho%20Programa%C3%A7%C3%A3o%20in%20Power%20BI&amp;body=%0A%0A%0AHere%27s%20the%20report%20link%3A%0Ahttps%3A%2F%2Fapp.powerbi.com%2Fgroups%2F1abc4333-9f61-43db-8926-59ed05976d2a%2Freports%2F58e539c5-41f3-48d2-911b-b91404486c8c%3Fctid%3D7308dcb6-c413-47dd-86ec-de575e4fe294%0AThanks!"/>
    <hyperlink ref="M54" r:id="rId133" display="https://app.powerbi.com/groups/1abc4333-9f61-43db-8926-59ed05976d2a?experience=power-bi"/>
    <hyperlink ref="K55" r:id="rId134"/>
    <hyperlink ref="M55" r:id="rId135" display="https://app.powerbi.com/groups/4963782d-ca3c-4507-9fc1-6cfe1216c285?experience=power-bi"/>
    <hyperlink ref="M56" r:id="rId136" display="https://app.powerbi.com/groups/1abc4333-9f61-43db-8926-59ed05976d2a?experience=power-bi"/>
    <hyperlink ref="K57" r:id="rId137"/>
    <hyperlink ref="M57" r:id="rId138" display="https://app.powerbi.com/groups/c8250554-3e79-46cd-a860-7005e77301b1?experience=power-bi"/>
    <hyperlink ref="K58" r:id="rId139" tooltip="ALEXANDRE DE OLIVEIRA" display="mailto:alexandre.oliveira@eptv.com.br?subject=Question%20about%20Or%C3%A7amento_2026%20in%20Power%20BI&amp;body=%0A%0A%0AHere%27s%20the%20report%20link%3A%0Ahttps%3A%2F%2Fapp.powerbi.com%2Fgroups%2F4963782d-ca3c-4507-9fc1-6cfe1216c285%2Freports%2F0f9239af-e73d-4a3c-b331-1af74bcfa0bc%3Fctid%3D7308dcb6-c413-47dd-86ec-de575e4fe294%0AThanks!"/>
    <hyperlink ref="M58" r:id="rId140" display="https://app.powerbi.com/groups/4963782d-ca3c-4507-9fc1-6cfe1216c285?experience=power-bi"/>
    <hyperlink ref="K59" r:id="rId141"/>
    <hyperlink ref="M59" r:id="rId142" display="https://app.powerbi.com/groups/4963782d-ca3c-4507-9fc1-6cfe1216c285?experience=power-bi"/>
    <hyperlink ref="K60" r:id="rId143"/>
    <hyperlink ref="L60" r:id="rId144"/>
    <hyperlink ref="N60" r:id="rId145"/>
    <hyperlink ref="K61" r:id="rId146" tooltip="ALEXANDRE DE OLIVEIRA" display="mailto:alexandre.oliveira@eptv.com.br?subject=Question%20about%20Remunera%C3%A7%C3%A3o_BI%20in%20Power%20BI&amp;body=%0A%0A%0AHere%27s%20the%20report%20link%3A%0Ahttps%3A%2F%2Fapp.powerbi.com%2Fgroups%2F4963782d-ca3c-4507-9fc1-6cfe1216c285%2Freports%2F35586091-98d5-49c7-9cb9-b3becacca903%3Fctid%3D7308dcb6-c413-47dd-86ec-de575e4fe294%0AThanks!"/>
    <hyperlink ref="M61" r:id="rId147" display="https://app.powerbi.com/groups/4963782d-ca3c-4507-9fc1-6cfe1216c285?experience=power-bi"/>
    <hyperlink ref="K62" r:id="rId148" tooltip="FELIPE MONTE BARBOSA" display="mailto:felipe.barbosa@eptv.com.br?subject=Question%20about%20Unidade_Eventos%20in%20Power%20BI&amp;body=%0A%0A%0AHere%27s%20the%20report%20link%3A%0Ahttps%3A%2F%2Fapp.powerbi.com%2Fgroups%2Fbd03572a-f34d-4ff6-9bb4-541d4ab5118c%2Freports%2F19aff478-11d2-4b6a-be42-360b0b60f8f2%3Fctid%3D7308dcb6-c413-47dd-86ec-de575e4fe294%0AThanks!"/>
    <hyperlink ref="L62" r:id="rId149" tooltip="FELIPE MONTE BARBOSA" display="mailto:felipe.barbosa@eptv.com.br?subject=Question%20about%20Unidade_Eventos%20in%20Power%20BI&amp;body=%0A%0A%0AHere%27s%20the%20report%20link%3A%0Ahttps%3A%2F%2Fapp.powerbi.com%2Fgroups%2Fbd03572a-f34d-4ff6-9bb4-541d4ab5118c%2Freports%2F19aff478-11d2-4b6a-be42-360b0b60f8f2%3Fctid%3D7308dcb6-c413-47dd-86ec-de575e4fe294%0AThanks!"/>
    <hyperlink ref="M62" r:id="rId150" display="https://app.powerbi.com/groups/bd03572a-f34d-4ff6-9bb4-541d4ab5118c?experience=power-bi"/>
  </hyperlinks>
  <pageMargins left="0.7" right="0.7" top="0.75" bottom="0.75" header="0.3" footer="0.3"/>
  <pageSetup paperSize="9" orientation="portrait" verticalDpi="0"/>
  <legacyDrawing r:id="rId1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K10" sqref="K10"/>
    </sheetView>
  </sheetViews>
  <sheetFormatPr defaultRowHeight="13.8"/>
  <cols>
    <col min="1" max="1" width="21.59765625" style="93" bestFit="1" customWidth="1"/>
    <col min="5" max="5" width="11.09765625" style="93" bestFit="1" customWidth="1"/>
    <col min="11" max="11" width="22.8984375" style="93" bestFit="1" customWidth="1"/>
    <col min="12" max="12" width="7.3984375" style="93" bestFit="1" customWidth="1"/>
    <col min="13" max="13" width="15.8984375" style="93" bestFit="1" customWidth="1"/>
  </cols>
  <sheetData>
    <row r="1" spans="1:15">
      <c r="A1" t="s">
        <v>247</v>
      </c>
      <c r="B1" s="94" t="s">
        <v>186</v>
      </c>
      <c r="C1" s="94" t="s">
        <v>187</v>
      </c>
      <c r="D1" s="94">
        <v>2025</v>
      </c>
      <c r="E1" s="4">
        <v>45975</v>
      </c>
      <c r="F1" s="94" t="s">
        <v>417</v>
      </c>
      <c r="G1" s="72">
        <v>7</v>
      </c>
      <c r="H1" s="94" t="s">
        <v>418</v>
      </c>
      <c r="I1" s="94" t="s">
        <v>200</v>
      </c>
      <c r="J1" s="94" t="s">
        <v>191</v>
      </c>
      <c r="K1" s="5" t="s">
        <v>69</v>
      </c>
      <c r="L1" s="5" t="s">
        <v>248</v>
      </c>
      <c r="M1" s="5" t="s">
        <v>239</v>
      </c>
      <c r="N1" s="94" t="s">
        <v>249</v>
      </c>
      <c r="O1" s="94"/>
    </row>
  </sheetData>
  <conditionalFormatting sqref="B1:C1">
    <cfRule type="cellIs" dxfId="13" priority="1" operator="equal">
      <formula>"Erro"</formula>
    </cfRule>
    <cfRule type="cellIs" dxfId="12" priority="2" operator="equal">
      <formula>"Publicado"</formula>
    </cfRule>
    <cfRule type="cellIs" dxfId="11" priority="3" operator="equal">
      <formula>"Parado"</formula>
    </cfRule>
  </conditionalFormatting>
  <hyperlinks>
    <hyperlink ref="K1" r:id="rId1" tooltip="LAIS KUMASAKA SANTOS" display="mailto:lais.santos@eptv.com.br?subject=Question%20about%20AdManager_Germanica%20in%20Power%20BI&amp;body=%0A%0A%0AHere%27s%20the%20report%20link%3A%0Ahttps%3A%2F%2Fapp.powerbi.com%2Fgroups%2F0b73efc3-c3cc-45f1-9240-519e55b13de5%2Freports%2F8dc30ba7-93f5-4bea-a099-1bc1f6893c18%3Fctid%3D7308dcb6-c413-47dd-86ec-de575e4fe294%0AThanks!"/>
    <hyperlink ref="M1" r:id="rId2" display="https://app.powerbi.com/groups/0b73efc3-c3cc-45f1-9240-519e55b13de5?experience=power-bi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O15"/>
  <sheetViews>
    <sheetView showGridLines="0" workbookViewId="0">
      <selection activeCell="A11" sqref="A11"/>
    </sheetView>
  </sheetViews>
  <sheetFormatPr defaultRowHeight="13.8"/>
  <cols>
    <col min="1" max="1" width="41.59765625" style="93" bestFit="1" customWidth="1"/>
    <col min="2" max="2" width="15.69921875" style="93" customWidth="1"/>
    <col min="3" max="3" width="39" style="93" bestFit="1" customWidth="1"/>
    <col min="4" max="4" width="20.8984375" style="93" customWidth="1"/>
    <col min="5" max="5" width="12.3984375" style="93" customWidth="1"/>
    <col min="6" max="6" width="18" style="93" bestFit="1" customWidth="1"/>
    <col min="7" max="8" width="18" style="93" customWidth="1"/>
    <col min="9" max="9" width="21.69921875" style="93" bestFit="1" customWidth="1"/>
    <col min="10" max="10" width="39" style="93" bestFit="1" customWidth="1"/>
    <col min="11" max="11" width="27.59765625" style="93" bestFit="1" customWidth="1"/>
    <col min="12" max="13" width="31.59765625" style="93" customWidth="1"/>
    <col min="14" max="14" width="25.59765625" style="93" customWidth="1"/>
    <col min="15" max="15" width="166.69921875" style="93" bestFit="1" customWidth="1"/>
  </cols>
  <sheetData>
    <row r="1" spans="1:15" ht="47.25" customHeight="1">
      <c r="A1" s="99" t="s">
        <v>170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ht="9" customHeight="1"/>
    <row r="5" spans="1:15" s="33" customFormat="1">
      <c r="A5" s="33" t="s">
        <v>171</v>
      </c>
      <c r="B5" s="33" t="s">
        <v>4</v>
      </c>
      <c r="C5" s="33" t="s">
        <v>419</v>
      </c>
    </row>
    <row r="6" spans="1:15" s="34" customFormat="1">
      <c r="A6" s="34" t="s">
        <v>185</v>
      </c>
      <c r="B6" s="34" t="s">
        <v>420</v>
      </c>
    </row>
    <row r="7" spans="1:15" s="25" customFormat="1">
      <c r="A7" s="25" t="s">
        <v>226</v>
      </c>
      <c r="B7" s="25" t="s">
        <v>421</v>
      </c>
      <c r="C7" s="25" t="s">
        <v>422</v>
      </c>
    </row>
    <row r="8" spans="1:15" s="69" customFormat="1">
      <c r="A8" s="69" t="s">
        <v>236</v>
      </c>
      <c r="B8" s="69" t="s">
        <v>421</v>
      </c>
    </row>
    <row r="9" spans="1:15" s="69" customFormat="1">
      <c r="A9" s="69" t="s">
        <v>253</v>
      </c>
      <c r="B9" s="69" t="s">
        <v>421</v>
      </c>
    </row>
    <row r="10" spans="1:15" s="34" customFormat="1">
      <c r="A10" s="34" t="s">
        <v>286</v>
      </c>
      <c r="B10" s="34" t="s">
        <v>420</v>
      </c>
    </row>
    <row r="11" spans="1:15" s="69" customFormat="1">
      <c r="A11" s="69" t="s">
        <v>291</v>
      </c>
      <c r="B11" s="69" t="s">
        <v>420</v>
      </c>
    </row>
    <row r="12" spans="1:15" s="34" customFormat="1">
      <c r="A12" s="34" t="s">
        <v>299</v>
      </c>
      <c r="B12" s="34" t="s">
        <v>420</v>
      </c>
    </row>
    <row r="13" spans="1:15" s="34" customFormat="1">
      <c r="A13" s="34" t="s">
        <v>348</v>
      </c>
      <c r="B13" s="34" t="s">
        <v>420</v>
      </c>
    </row>
    <row r="14" spans="1:15" s="34" customFormat="1">
      <c r="A14" s="34" t="s">
        <v>386</v>
      </c>
      <c r="B14" s="34" t="s">
        <v>420</v>
      </c>
      <c r="C14" s="34" t="s">
        <v>423</v>
      </c>
    </row>
    <row r="15" spans="1:15" s="34" customFormat="1">
      <c r="A15" s="34" t="s">
        <v>391</v>
      </c>
      <c r="B15" s="34" t="s">
        <v>420</v>
      </c>
    </row>
  </sheetData>
  <mergeCells count="1">
    <mergeCell ref="A1:O1"/>
  </mergeCells>
  <conditionalFormatting sqref="C1:D10 C12:D1048515 D11">
    <cfRule type="cellIs" dxfId="10" priority="4" operator="equal">
      <formula>"Erro"</formula>
    </cfRule>
    <cfRule type="cellIs" dxfId="9" priority="5" operator="equal">
      <formula>"Publicado"</formula>
    </cfRule>
    <cfRule type="cellIs" dxfId="8" priority="6" operator="equal">
      <formula>"Parado"</formula>
    </cfRule>
  </conditionalFormatting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XFC234"/>
  <sheetViews>
    <sheetView showGridLines="0" tabSelected="1" zoomScale="120" zoomScaleNormal="120" workbookViewId="0">
      <pane xSplit="2" ySplit="4" topLeftCell="C22" activePane="bottomRight" state="frozen"/>
      <selection pane="topRight" activeCell="D33" sqref="D33"/>
      <selection pane="bottomLeft" activeCell="D33" sqref="D33"/>
      <selection pane="bottomRight" activeCell="AQ32" sqref="AQ32"/>
    </sheetView>
  </sheetViews>
  <sheetFormatPr defaultRowHeight="13.8"/>
  <cols>
    <col min="1" max="2" width="19" style="93" customWidth="1"/>
    <col min="3" max="3" width="21.59765625" style="93" bestFit="1" customWidth="1"/>
    <col min="4" max="4" width="24.3984375" style="93" customWidth="1"/>
    <col min="5" max="5" width="25.8984375" style="93" customWidth="1"/>
    <col min="6" max="6" width="17.09765625" style="93" bestFit="1" customWidth="1"/>
    <col min="7" max="7" width="17.8984375" style="93" bestFit="1" customWidth="1"/>
    <col min="8" max="8" width="26" style="93" bestFit="1" customWidth="1"/>
    <col min="9" max="9" width="29.09765625" style="93" bestFit="1" customWidth="1"/>
    <col min="10" max="10" width="28.09765625" style="93" bestFit="1" customWidth="1"/>
    <col min="11" max="11" width="23.8984375" style="93" bestFit="1" customWidth="1"/>
    <col min="12" max="12" width="24.09765625" style="93" bestFit="1" customWidth="1"/>
    <col min="13" max="13" width="24.59765625" style="93" bestFit="1" customWidth="1"/>
    <col min="14" max="14" width="21.3984375" style="93" bestFit="1" customWidth="1"/>
    <col min="15" max="15" width="19.59765625" style="93" customWidth="1"/>
    <col min="16" max="16" width="24.69921875" style="93" bestFit="1" customWidth="1"/>
    <col min="17" max="17" width="31.69921875" style="93" customWidth="1"/>
    <col min="18" max="18" width="18.8984375" style="93" bestFit="1" customWidth="1"/>
    <col min="19" max="19" width="15.8984375" style="93" customWidth="1"/>
    <col min="20" max="20" width="18.296875" style="93" bestFit="1" customWidth="1"/>
    <col min="21" max="21" width="20" style="93" bestFit="1" customWidth="1"/>
    <col min="22" max="22" width="26.8984375" style="93" bestFit="1" customWidth="1"/>
    <col min="23" max="23" width="23.59765625" style="93" bestFit="1" customWidth="1"/>
    <col min="24" max="24" width="14.296875" style="93" bestFit="1" customWidth="1"/>
    <col min="25" max="25" width="16.59765625" style="93" bestFit="1" customWidth="1"/>
    <col min="26" max="26" width="26.09765625" style="93" bestFit="1" customWidth="1"/>
    <col min="27" max="27" width="18.09765625" style="93" bestFit="1" customWidth="1"/>
    <col min="28" max="28" width="24.09765625" style="93" bestFit="1" customWidth="1"/>
    <col min="29" max="29" width="27.3984375" style="93" bestFit="1" customWidth="1"/>
    <col min="30" max="30" width="26.8984375" style="93" bestFit="1" customWidth="1"/>
    <col min="31" max="31" width="22.296875" style="93" bestFit="1" customWidth="1"/>
    <col min="32" max="32" width="43.09765625" style="93" bestFit="1" customWidth="1"/>
    <col min="33" max="33" width="18.296875" style="93" bestFit="1" customWidth="1"/>
    <col min="34" max="34" width="30.09765625" style="93" bestFit="1" customWidth="1"/>
    <col min="35" max="35" width="31.09765625" style="93" bestFit="1" customWidth="1"/>
    <col min="36" max="36" width="27" style="93" bestFit="1" customWidth="1"/>
    <col min="37" max="37" width="15.8984375" style="93" bestFit="1" customWidth="1"/>
    <col min="38" max="38" width="18.09765625" style="93" bestFit="1" customWidth="1"/>
    <col min="39" max="39" width="34.296875" style="93" bestFit="1" customWidth="1"/>
    <col min="40" max="40" width="19.3984375" style="93" bestFit="1" customWidth="1"/>
    <col min="41" max="41" width="18.3984375" style="93" bestFit="1" customWidth="1"/>
    <col min="42" max="42" width="31.296875" style="93" bestFit="1" customWidth="1"/>
    <col min="43" max="43" width="18.09765625" style="93" bestFit="1" customWidth="1"/>
    <col min="44" max="44" width="18.3984375" style="93" bestFit="1" customWidth="1"/>
    <col min="16384" max="16384" width="9.09765625" style="93" bestFit="1" customWidth="1"/>
  </cols>
  <sheetData>
    <row r="1" spans="1:46" ht="47.25" customHeight="1">
      <c r="A1" s="109">
        <f ca="1">TODAY()</f>
        <v>46107</v>
      </c>
      <c r="B1" s="100"/>
      <c r="C1" s="35"/>
      <c r="D1" s="35"/>
      <c r="E1" s="35" t="s">
        <v>424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2" t="s">
        <v>198</v>
      </c>
      <c r="AT1" s="2" t="s">
        <v>425</v>
      </c>
    </row>
    <row r="2" spans="1:46" ht="17.25" customHeight="1">
      <c r="A2" s="110">
        <f>COUNTIF($F$5:$AR$233,"Erro")/(COUNTIF($F$5:$AR$233,"Erro")+COUNTIF($F$5:$AR$233,"OK"))</f>
        <v>4.5745654162854532E-2</v>
      </c>
      <c r="B2" s="108">
        <f>COUNTIF($F$5:$AR$233,"OK")/(COUNTIF($F$5:$AR$233,"Erro")+COUNTIF($F$5:$AR$233,"OK"))</f>
        <v>0.95425434583714552</v>
      </c>
      <c r="C2" s="57" t="s">
        <v>194</v>
      </c>
      <c r="D2" s="57" t="s">
        <v>194</v>
      </c>
      <c r="E2" s="57" t="s">
        <v>194</v>
      </c>
      <c r="F2" s="5" t="s">
        <v>206</v>
      </c>
      <c r="G2" s="5" t="s">
        <v>206</v>
      </c>
      <c r="H2" s="5" t="s">
        <v>206</v>
      </c>
      <c r="I2" s="5" t="s">
        <v>239</v>
      </c>
      <c r="J2" s="5" t="s">
        <v>239</v>
      </c>
      <c r="K2" s="5" t="s">
        <v>239</v>
      </c>
      <c r="L2" s="5" t="s">
        <v>239</v>
      </c>
      <c r="M2" s="5" t="s">
        <v>239</v>
      </c>
      <c r="N2" s="5" t="s">
        <v>239</v>
      </c>
      <c r="O2" s="5" t="s">
        <v>239</v>
      </c>
      <c r="P2" s="5" t="s">
        <v>239</v>
      </c>
      <c r="Q2" s="5" t="s">
        <v>239</v>
      </c>
      <c r="R2" s="5" t="s">
        <v>239</v>
      </c>
      <c r="S2" s="5" t="s">
        <v>239</v>
      </c>
      <c r="T2" s="5" t="s">
        <v>239</v>
      </c>
      <c r="U2" s="5" t="s">
        <v>239</v>
      </c>
      <c r="V2" s="5" t="s">
        <v>303</v>
      </c>
      <c r="W2" s="5" t="s">
        <v>315</v>
      </c>
      <c r="X2" s="5" t="s">
        <v>309</v>
      </c>
      <c r="Y2" s="5" t="s">
        <v>309</v>
      </c>
      <c r="Z2" s="5" t="s">
        <v>309</v>
      </c>
      <c r="AA2" s="5" t="s">
        <v>309</v>
      </c>
      <c r="AB2" s="5" t="s">
        <v>309</v>
      </c>
      <c r="AC2" s="5" t="s">
        <v>309</v>
      </c>
      <c r="AD2" s="5" t="s">
        <v>340</v>
      </c>
      <c r="AE2" s="5" t="s">
        <v>340</v>
      </c>
      <c r="AF2" s="5" t="s">
        <v>356</v>
      </c>
      <c r="AG2" s="5" t="s">
        <v>362</v>
      </c>
      <c r="AH2" s="5" t="s">
        <v>352</v>
      </c>
      <c r="AI2" s="5" t="s">
        <v>352</v>
      </c>
      <c r="AJ2" s="5" t="s">
        <v>352</v>
      </c>
      <c r="AK2" s="5" t="s">
        <v>352</v>
      </c>
      <c r="AL2" s="5" t="s">
        <v>352</v>
      </c>
      <c r="AM2" s="5" t="s">
        <v>352</v>
      </c>
      <c r="AN2" s="56" t="s">
        <v>394</v>
      </c>
      <c r="AO2" s="5" t="s">
        <v>384</v>
      </c>
      <c r="AP2" s="5" t="s">
        <v>384</v>
      </c>
      <c r="AQ2" s="5" t="s">
        <v>384</v>
      </c>
      <c r="AR2" s="5" t="s">
        <v>415</v>
      </c>
    </row>
    <row r="3" spans="1:46" ht="17.25" customHeight="1">
      <c r="A3" s="100"/>
      <c r="B3" s="100"/>
      <c r="C3" s="58">
        <f t="shared" ref="C3:AR3" si="0">COUNTIF(C5:C233,"OK")/(COUNTIF(C5:C233,"OK")+COUNTIF(C5:C233,"Erro"))</f>
        <v>0.96551724137931039</v>
      </c>
      <c r="D3" s="58">
        <f t="shared" si="0"/>
        <v>0</v>
      </c>
      <c r="E3" s="58">
        <f t="shared" si="0"/>
        <v>0</v>
      </c>
      <c r="F3" s="41">
        <f t="shared" si="0"/>
        <v>1</v>
      </c>
      <c r="G3" s="41">
        <f t="shared" si="0"/>
        <v>0.93103448275862066</v>
      </c>
      <c r="H3" s="41">
        <f t="shared" si="0"/>
        <v>1</v>
      </c>
      <c r="I3" s="41">
        <f t="shared" si="0"/>
        <v>1</v>
      </c>
      <c r="J3" s="41">
        <f t="shared" si="0"/>
        <v>1</v>
      </c>
      <c r="K3" s="41">
        <f t="shared" si="0"/>
        <v>1</v>
      </c>
      <c r="L3" s="41">
        <f t="shared" si="0"/>
        <v>1</v>
      </c>
      <c r="M3" s="41">
        <f t="shared" si="0"/>
        <v>1</v>
      </c>
      <c r="N3" s="41">
        <f t="shared" si="0"/>
        <v>0.86206896551724133</v>
      </c>
      <c r="O3" s="41">
        <f t="shared" si="0"/>
        <v>0.8571428571428571</v>
      </c>
      <c r="P3" s="41">
        <f t="shared" si="0"/>
        <v>1</v>
      </c>
      <c r="Q3" s="41">
        <f t="shared" si="0"/>
        <v>1</v>
      </c>
      <c r="R3" s="41">
        <f t="shared" si="0"/>
        <v>1</v>
      </c>
      <c r="S3" s="41">
        <f t="shared" si="0"/>
        <v>0</v>
      </c>
      <c r="T3" s="41">
        <f t="shared" si="0"/>
        <v>1</v>
      </c>
      <c r="U3" s="41">
        <f t="shared" si="0"/>
        <v>0.89655172413793105</v>
      </c>
      <c r="V3" s="41">
        <f t="shared" si="0"/>
        <v>1</v>
      </c>
      <c r="W3" s="41">
        <f t="shared" si="0"/>
        <v>1</v>
      </c>
      <c r="X3" s="41">
        <f t="shared" si="0"/>
        <v>1</v>
      </c>
      <c r="Y3" s="41">
        <f t="shared" si="0"/>
        <v>1</v>
      </c>
      <c r="Z3" s="41">
        <f t="shared" si="0"/>
        <v>1</v>
      </c>
      <c r="AA3" s="41">
        <f t="shared" si="0"/>
        <v>0.93103448275862066</v>
      </c>
      <c r="AB3" s="41">
        <f t="shared" si="0"/>
        <v>1</v>
      </c>
      <c r="AC3" s="41">
        <f t="shared" si="0"/>
        <v>1</v>
      </c>
      <c r="AD3" s="41">
        <f t="shared" si="0"/>
        <v>0.89655172413793105</v>
      </c>
      <c r="AE3" s="41">
        <f t="shared" si="0"/>
        <v>1</v>
      </c>
      <c r="AF3" s="41">
        <f t="shared" si="0"/>
        <v>1</v>
      </c>
      <c r="AG3" s="41">
        <f t="shared" si="0"/>
        <v>1</v>
      </c>
      <c r="AH3" s="41">
        <f t="shared" si="0"/>
        <v>1</v>
      </c>
      <c r="AI3" s="41">
        <f t="shared" si="0"/>
        <v>1</v>
      </c>
      <c r="AJ3" s="41">
        <f t="shared" si="0"/>
        <v>1</v>
      </c>
      <c r="AK3" s="41">
        <f t="shared" si="0"/>
        <v>1</v>
      </c>
      <c r="AL3" s="41">
        <f t="shared" si="0"/>
        <v>1</v>
      </c>
      <c r="AM3" s="41">
        <f t="shared" si="0"/>
        <v>1</v>
      </c>
      <c r="AN3" s="41">
        <f t="shared" si="0"/>
        <v>1</v>
      </c>
      <c r="AO3" s="41">
        <f t="shared" si="0"/>
        <v>1</v>
      </c>
      <c r="AP3" s="41">
        <f t="shared" si="0"/>
        <v>1</v>
      </c>
      <c r="AQ3" s="41">
        <f t="shared" si="0"/>
        <v>0.89655172413793105</v>
      </c>
      <c r="AR3" s="41">
        <f t="shared" si="0"/>
        <v>1</v>
      </c>
    </row>
    <row r="4" spans="1:46" s="2" customFormat="1">
      <c r="A4" s="36" t="s">
        <v>426</v>
      </c>
      <c r="B4" s="36" t="s">
        <v>427</v>
      </c>
      <c r="C4" s="59" t="s">
        <v>185</v>
      </c>
      <c r="D4" s="59" t="s">
        <v>196</v>
      </c>
      <c r="E4" s="59" t="s">
        <v>202</v>
      </c>
      <c r="F4" s="37" t="s">
        <v>204</v>
      </c>
      <c r="G4" s="37" t="s">
        <v>208</v>
      </c>
      <c r="H4" s="37" t="s">
        <v>216</v>
      </c>
      <c r="I4" s="37" t="s">
        <v>241</v>
      </c>
      <c r="J4" s="37" t="s">
        <v>296</v>
      </c>
      <c r="K4" s="37" t="s">
        <v>247</v>
      </c>
      <c r="L4" s="37" t="s">
        <v>250</v>
      </c>
      <c r="M4" s="37" t="s">
        <v>259</v>
      </c>
      <c r="N4" s="37" t="s">
        <v>265</v>
      </c>
      <c r="O4" s="37" t="s">
        <v>270</v>
      </c>
      <c r="P4" s="37" t="s">
        <v>277</v>
      </c>
      <c r="Q4" s="37" t="s">
        <v>280</v>
      </c>
      <c r="R4" s="37" t="s">
        <v>282</v>
      </c>
      <c r="S4" s="37" t="s">
        <v>286</v>
      </c>
      <c r="T4" s="37" t="s">
        <v>294</v>
      </c>
      <c r="U4" s="37" t="s">
        <v>291</v>
      </c>
      <c r="V4" s="37" t="s">
        <v>299</v>
      </c>
      <c r="W4" s="37" t="s">
        <v>311</v>
      </c>
      <c r="X4" s="37" t="s">
        <v>305</v>
      </c>
      <c r="Y4" s="37" t="s">
        <v>317</v>
      </c>
      <c r="Z4" s="37" t="s">
        <v>321</v>
      </c>
      <c r="AA4" s="37" t="s">
        <v>332</v>
      </c>
      <c r="AB4" s="37" t="s">
        <v>324</v>
      </c>
      <c r="AC4" s="37" t="s">
        <v>336</v>
      </c>
      <c r="AD4" s="37" t="s">
        <v>345</v>
      </c>
      <c r="AE4" s="37" t="s">
        <v>342</v>
      </c>
      <c r="AF4" s="37" t="s">
        <v>428</v>
      </c>
      <c r="AG4" s="37" t="s">
        <v>358</v>
      </c>
      <c r="AH4" s="37" t="s">
        <v>364</v>
      </c>
      <c r="AI4" s="37" t="s">
        <v>369</v>
      </c>
      <c r="AJ4" s="37" t="s">
        <v>372</v>
      </c>
      <c r="AK4" s="37" t="s">
        <v>375</v>
      </c>
      <c r="AL4" s="37" t="s">
        <v>380</v>
      </c>
      <c r="AM4" s="37" t="s">
        <v>386</v>
      </c>
      <c r="AN4" s="37" t="s">
        <v>391</v>
      </c>
      <c r="AO4" s="37" t="s">
        <v>396</v>
      </c>
      <c r="AP4" s="37" t="s">
        <v>401</v>
      </c>
      <c r="AQ4" s="37" t="s">
        <v>407</v>
      </c>
      <c r="AR4" s="37" t="s">
        <v>411</v>
      </c>
    </row>
    <row r="5" spans="1:46">
      <c r="A5" s="38">
        <v>46069</v>
      </c>
      <c r="B5" s="39" t="s">
        <v>429</v>
      </c>
      <c r="C5" s="40" t="s">
        <v>425</v>
      </c>
      <c r="D5" s="40" t="s">
        <v>198</v>
      </c>
      <c r="E5" s="104"/>
      <c r="F5" s="40" t="s">
        <v>425</v>
      </c>
      <c r="G5" s="40" t="s">
        <v>425</v>
      </c>
      <c r="H5" s="40" t="s">
        <v>425</v>
      </c>
      <c r="I5" s="40" t="s">
        <v>425</v>
      </c>
      <c r="J5" s="107"/>
      <c r="K5" s="40" t="s">
        <v>425</v>
      </c>
      <c r="L5" s="40" t="s">
        <v>425</v>
      </c>
      <c r="M5" s="40" t="s">
        <v>425</v>
      </c>
      <c r="N5" s="40" t="s">
        <v>425</v>
      </c>
      <c r="O5" s="40" t="s">
        <v>425</v>
      </c>
      <c r="P5" s="40" t="s">
        <v>425</v>
      </c>
      <c r="Q5" s="40" t="s">
        <v>425</v>
      </c>
      <c r="R5" s="40" t="s">
        <v>425</v>
      </c>
      <c r="S5" s="40" t="s">
        <v>198</v>
      </c>
      <c r="T5" s="40" t="s">
        <v>425</v>
      </c>
      <c r="U5" s="40" t="s">
        <v>198</v>
      </c>
      <c r="V5" s="40" t="s">
        <v>425</v>
      </c>
      <c r="W5" s="40" t="s">
        <v>425</v>
      </c>
      <c r="X5" s="40" t="s">
        <v>425</v>
      </c>
      <c r="Y5" s="40" t="s">
        <v>425</v>
      </c>
      <c r="Z5" s="40" t="s">
        <v>425</v>
      </c>
      <c r="AA5" s="40" t="s">
        <v>425</v>
      </c>
      <c r="AB5" s="40" t="s">
        <v>425</v>
      </c>
      <c r="AC5" s="40" t="s">
        <v>425</v>
      </c>
      <c r="AD5" s="40" t="s">
        <v>198</v>
      </c>
      <c r="AE5" s="40" t="s">
        <v>425</v>
      </c>
      <c r="AF5" s="107"/>
      <c r="AG5" s="40" t="s">
        <v>425</v>
      </c>
      <c r="AH5" s="40" t="s">
        <v>425</v>
      </c>
      <c r="AI5" s="40" t="s">
        <v>425</v>
      </c>
      <c r="AJ5" s="40" t="s">
        <v>425</v>
      </c>
      <c r="AK5" s="40" t="s">
        <v>425</v>
      </c>
      <c r="AL5" s="40" t="s">
        <v>425</v>
      </c>
      <c r="AM5" s="40" t="s">
        <v>425</v>
      </c>
      <c r="AN5" s="40" t="s">
        <v>425</v>
      </c>
      <c r="AO5" s="40" t="s">
        <v>425</v>
      </c>
      <c r="AP5" s="40" t="s">
        <v>425</v>
      </c>
      <c r="AQ5" s="40" t="s">
        <v>425</v>
      </c>
      <c r="AR5" s="40" t="s">
        <v>425</v>
      </c>
    </row>
    <row r="6" spans="1:46">
      <c r="A6" s="38">
        <v>46070</v>
      </c>
      <c r="B6" s="39" t="s">
        <v>430</v>
      </c>
      <c r="C6" s="40" t="s">
        <v>425</v>
      </c>
      <c r="D6" s="40" t="s">
        <v>198</v>
      </c>
      <c r="E6" s="105"/>
      <c r="F6" s="40" t="s">
        <v>425</v>
      </c>
      <c r="G6" s="40" t="s">
        <v>425</v>
      </c>
      <c r="H6" s="40" t="s">
        <v>425</v>
      </c>
      <c r="I6" s="40" t="s">
        <v>425</v>
      </c>
      <c r="J6" s="105"/>
      <c r="K6" s="40" t="s">
        <v>425</v>
      </c>
      <c r="L6" s="40" t="s">
        <v>425</v>
      </c>
      <c r="M6" s="40" t="s">
        <v>425</v>
      </c>
      <c r="N6" s="40" t="s">
        <v>425</v>
      </c>
      <c r="O6" s="40" t="s">
        <v>425</v>
      </c>
      <c r="P6" s="40" t="s">
        <v>425</v>
      </c>
      <c r="Q6" s="40" t="s">
        <v>425</v>
      </c>
      <c r="R6" s="40" t="s">
        <v>425</v>
      </c>
      <c r="S6" s="40" t="s">
        <v>198</v>
      </c>
      <c r="T6" s="40" t="s">
        <v>425</v>
      </c>
      <c r="U6" s="40" t="s">
        <v>198</v>
      </c>
      <c r="V6" s="40" t="s">
        <v>425</v>
      </c>
      <c r="W6" s="40" t="s">
        <v>425</v>
      </c>
      <c r="X6" s="40" t="s">
        <v>425</v>
      </c>
      <c r="Y6" s="40" t="s">
        <v>425</v>
      </c>
      <c r="Z6" s="40" t="s">
        <v>425</v>
      </c>
      <c r="AA6" s="40" t="s">
        <v>425</v>
      </c>
      <c r="AB6" s="40" t="s">
        <v>425</v>
      </c>
      <c r="AC6" s="40" t="s">
        <v>425</v>
      </c>
      <c r="AD6" s="40" t="s">
        <v>198</v>
      </c>
      <c r="AE6" s="40" t="s">
        <v>425</v>
      </c>
      <c r="AF6" s="105"/>
      <c r="AG6" s="40" t="s">
        <v>425</v>
      </c>
      <c r="AH6" s="40" t="s">
        <v>425</v>
      </c>
      <c r="AI6" s="40" t="s">
        <v>425</v>
      </c>
      <c r="AJ6" s="40" t="s">
        <v>425</v>
      </c>
      <c r="AK6" s="40" t="s">
        <v>425</v>
      </c>
      <c r="AL6" s="40" t="s">
        <v>425</v>
      </c>
      <c r="AM6" s="40" t="s">
        <v>425</v>
      </c>
      <c r="AN6" s="40" t="s">
        <v>425</v>
      </c>
      <c r="AO6" s="40" t="s">
        <v>425</v>
      </c>
      <c r="AP6" s="40" t="s">
        <v>425</v>
      </c>
      <c r="AQ6" s="40" t="s">
        <v>425</v>
      </c>
      <c r="AR6" s="40" t="s">
        <v>425</v>
      </c>
    </row>
    <row r="7" spans="1:46">
      <c r="A7" s="38">
        <v>46071</v>
      </c>
      <c r="B7" s="39" t="s">
        <v>431</v>
      </c>
      <c r="C7" s="40" t="s">
        <v>425</v>
      </c>
      <c r="D7" s="40" t="s">
        <v>198</v>
      </c>
      <c r="E7" s="105"/>
      <c r="F7" s="40" t="s">
        <v>425</v>
      </c>
      <c r="G7" s="40" t="s">
        <v>425</v>
      </c>
      <c r="H7" s="40" t="s">
        <v>425</v>
      </c>
      <c r="I7" s="40" t="s">
        <v>425</v>
      </c>
      <c r="J7" s="105"/>
      <c r="K7" s="40" t="s">
        <v>425</v>
      </c>
      <c r="L7" s="40" t="s">
        <v>425</v>
      </c>
      <c r="M7" s="40" t="s">
        <v>425</v>
      </c>
      <c r="N7" s="40" t="s">
        <v>425</v>
      </c>
      <c r="O7" s="40" t="s">
        <v>425</v>
      </c>
      <c r="P7" s="40" t="s">
        <v>425</v>
      </c>
      <c r="Q7" s="40" t="s">
        <v>425</v>
      </c>
      <c r="R7" s="40" t="s">
        <v>425</v>
      </c>
      <c r="S7" s="40" t="s">
        <v>198</v>
      </c>
      <c r="T7" s="40" t="s">
        <v>425</v>
      </c>
      <c r="U7" s="40" t="s">
        <v>198</v>
      </c>
      <c r="V7" s="40" t="s">
        <v>425</v>
      </c>
      <c r="W7" s="40" t="s">
        <v>425</v>
      </c>
      <c r="X7" s="40" t="s">
        <v>425</v>
      </c>
      <c r="Y7" s="40" t="s">
        <v>425</v>
      </c>
      <c r="Z7" s="40" t="s">
        <v>425</v>
      </c>
      <c r="AA7" s="40" t="s">
        <v>425</v>
      </c>
      <c r="AB7" s="40" t="s">
        <v>425</v>
      </c>
      <c r="AC7" s="40" t="s">
        <v>425</v>
      </c>
      <c r="AD7" s="40" t="s">
        <v>198</v>
      </c>
      <c r="AE7" s="40" t="s">
        <v>425</v>
      </c>
      <c r="AF7" s="105"/>
      <c r="AG7" s="40" t="s">
        <v>425</v>
      </c>
      <c r="AH7" s="40" t="s">
        <v>425</v>
      </c>
      <c r="AI7" s="40" t="s">
        <v>425</v>
      </c>
      <c r="AJ7" s="40" t="s">
        <v>425</v>
      </c>
      <c r="AK7" s="40" t="s">
        <v>425</v>
      </c>
      <c r="AL7" s="40" t="s">
        <v>425</v>
      </c>
      <c r="AM7" s="40" t="s">
        <v>425</v>
      </c>
      <c r="AN7" s="40" t="s">
        <v>425</v>
      </c>
      <c r="AO7" s="40" t="s">
        <v>425</v>
      </c>
      <c r="AP7" s="40" t="s">
        <v>425</v>
      </c>
      <c r="AQ7" s="40" t="s">
        <v>425</v>
      </c>
      <c r="AR7" s="40" t="s">
        <v>425</v>
      </c>
    </row>
    <row r="8" spans="1:46">
      <c r="A8" s="38">
        <v>46072</v>
      </c>
      <c r="B8" s="39" t="s">
        <v>432</v>
      </c>
      <c r="C8" s="40" t="s">
        <v>425</v>
      </c>
      <c r="D8" s="40" t="s">
        <v>198</v>
      </c>
      <c r="E8" s="105"/>
      <c r="F8" s="40" t="s">
        <v>425</v>
      </c>
      <c r="G8" s="40" t="s">
        <v>425</v>
      </c>
      <c r="H8" s="40" t="s">
        <v>425</v>
      </c>
      <c r="I8" s="40" t="s">
        <v>425</v>
      </c>
      <c r="J8" s="105"/>
      <c r="K8" s="40" t="s">
        <v>425</v>
      </c>
      <c r="L8" s="40" t="s">
        <v>425</v>
      </c>
      <c r="M8" s="40" t="s">
        <v>425</v>
      </c>
      <c r="N8" s="40" t="s">
        <v>425</v>
      </c>
      <c r="O8" s="40" t="s">
        <v>425</v>
      </c>
      <c r="P8" s="40" t="s">
        <v>425</v>
      </c>
      <c r="Q8" s="40" t="s">
        <v>425</v>
      </c>
      <c r="R8" s="40" t="s">
        <v>425</v>
      </c>
      <c r="S8" s="40" t="s">
        <v>198</v>
      </c>
      <c r="T8" s="40" t="s">
        <v>425</v>
      </c>
      <c r="U8" s="40" t="s">
        <v>425</v>
      </c>
      <c r="V8" s="40" t="s">
        <v>425</v>
      </c>
      <c r="W8" s="40" t="s">
        <v>425</v>
      </c>
      <c r="X8" s="40" t="s">
        <v>425</v>
      </c>
      <c r="Y8" s="40" t="s">
        <v>425</v>
      </c>
      <c r="Z8" s="40" t="s">
        <v>425</v>
      </c>
      <c r="AA8" s="40" t="s">
        <v>425</v>
      </c>
      <c r="AB8" s="40" t="s">
        <v>425</v>
      </c>
      <c r="AC8" s="40" t="s">
        <v>425</v>
      </c>
      <c r="AD8" s="40" t="s">
        <v>425</v>
      </c>
      <c r="AE8" s="40" t="s">
        <v>425</v>
      </c>
      <c r="AF8" s="105"/>
      <c r="AG8" s="40" t="s">
        <v>425</v>
      </c>
      <c r="AH8" s="40" t="s">
        <v>425</v>
      </c>
      <c r="AI8" s="40" t="s">
        <v>425</v>
      </c>
      <c r="AJ8" s="40" t="s">
        <v>425</v>
      </c>
      <c r="AK8" s="40" t="s">
        <v>425</v>
      </c>
      <c r="AL8" s="40" t="s">
        <v>425</v>
      </c>
      <c r="AM8" s="40" t="s">
        <v>425</v>
      </c>
      <c r="AN8" s="40" t="s">
        <v>425</v>
      </c>
      <c r="AO8" s="40" t="s">
        <v>425</v>
      </c>
      <c r="AP8" s="40" t="s">
        <v>425</v>
      </c>
      <c r="AQ8" s="40" t="s">
        <v>425</v>
      </c>
      <c r="AR8" s="40" t="s">
        <v>425</v>
      </c>
    </row>
    <row r="9" spans="1:46">
      <c r="A9" s="38">
        <v>46073</v>
      </c>
      <c r="B9" s="39" t="s">
        <v>433</v>
      </c>
      <c r="C9" s="40" t="s">
        <v>425</v>
      </c>
      <c r="D9" s="40" t="s">
        <v>198</v>
      </c>
      <c r="E9" s="106"/>
      <c r="F9" s="40" t="s">
        <v>425</v>
      </c>
      <c r="G9" s="40" t="s">
        <v>425</v>
      </c>
      <c r="H9" s="40" t="s">
        <v>425</v>
      </c>
      <c r="I9" s="40" t="s">
        <v>425</v>
      </c>
      <c r="J9" s="105"/>
      <c r="K9" s="40" t="s">
        <v>425</v>
      </c>
      <c r="L9" s="40" t="s">
        <v>425</v>
      </c>
      <c r="M9" s="40" t="s">
        <v>425</v>
      </c>
      <c r="N9" s="40" t="s">
        <v>425</v>
      </c>
      <c r="O9" s="40" t="s">
        <v>425</v>
      </c>
      <c r="P9" s="40" t="s">
        <v>425</v>
      </c>
      <c r="Q9" s="40" t="s">
        <v>425</v>
      </c>
      <c r="R9" s="40" t="s">
        <v>425</v>
      </c>
      <c r="S9" s="40" t="s">
        <v>198</v>
      </c>
      <c r="T9" s="40" t="s">
        <v>425</v>
      </c>
      <c r="U9" s="40" t="s">
        <v>425</v>
      </c>
      <c r="V9" s="40" t="s">
        <v>425</v>
      </c>
      <c r="W9" s="40" t="s">
        <v>425</v>
      </c>
      <c r="X9" s="40" t="s">
        <v>425</v>
      </c>
      <c r="Y9" s="40" t="s">
        <v>425</v>
      </c>
      <c r="Z9" s="40" t="s">
        <v>425</v>
      </c>
      <c r="AA9" s="40" t="s">
        <v>425</v>
      </c>
      <c r="AB9" s="40" t="s">
        <v>425</v>
      </c>
      <c r="AC9" s="40" t="s">
        <v>425</v>
      </c>
      <c r="AD9" s="40" t="s">
        <v>425</v>
      </c>
      <c r="AE9" s="40" t="s">
        <v>425</v>
      </c>
      <c r="AF9" s="105"/>
      <c r="AG9" s="40" t="s">
        <v>425</v>
      </c>
      <c r="AH9" s="40" t="s">
        <v>425</v>
      </c>
      <c r="AI9" s="40" t="s">
        <v>425</v>
      </c>
      <c r="AJ9" s="40" t="s">
        <v>425</v>
      </c>
      <c r="AK9" s="40" t="s">
        <v>425</v>
      </c>
      <c r="AL9" s="40" t="s">
        <v>425</v>
      </c>
      <c r="AM9" s="40" t="s">
        <v>425</v>
      </c>
      <c r="AN9" s="40" t="s">
        <v>425</v>
      </c>
      <c r="AO9" s="40" t="s">
        <v>425</v>
      </c>
      <c r="AP9" s="40" t="s">
        <v>425</v>
      </c>
      <c r="AQ9" s="40" t="s">
        <v>425</v>
      </c>
      <c r="AR9" s="40" t="s">
        <v>425</v>
      </c>
    </row>
    <row r="10" spans="1:46">
      <c r="A10" s="38">
        <v>46076</v>
      </c>
      <c r="B10" s="39" t="s">
        <v>429</v>
      </c>
      <c r="C10" s="40" t="s">
        <v>425</v>
      </c>
      <c r="D10" s="40" t="s">
        <v>198</v>
      </c>
      <c r="E10" s="40" t="s">
        <v>198</v>
      </c>
      <c r="F10" s="40" t="s">
        <v>425</v>
      </c>
      <c r="G10" s="40" t="s">
        <v>425</v>
      </c>
      <c r="H10" s="40" t="s">
        <v>425</v>
      </c>
      <c r="I10" s="40" t="s">
        <v>425</v>
      </c>
      <c r="J10" s="105"/>
      <c r="K10" s="40" t="s">
        <v>425</v>
      </c>
      <c r="L10" s="40" t="s">
        <v>425</v>
      </c>
      <c r="M10" s="40" t="s">
        <v>425</v>
      </c>
      <c r="N10" s="40" t="s">
        <v>198</v>
      </c>
      <c r="O10" s="40" t="s">
        <v>425</v>
      </c>
      <c r="P10" s="40" t="s">
        <v>425</v>
      </c>
      <c r="Q10" s="40" t="s">
        <v>425</v>
      </c>
      <c r="R10" s="40" t="s">
        <v>425</v>
      </c>
      <c r="S10" s="40" t="s">
        <v>198</v>
      </c>
      <c r="T10" s="40" t="s">
        <v>425</v>
      </c>
      <c r="U10" s="40" t="s">
        <v>425</v>
      </c>
      <c r="V10" s="40" t="s">
        <v>425</v>
      </c>
      <c r="W10" s="40" t="s">
        <v>425</v>
      </c>
      <c r="X10" s="40" t="s">
        <v>425</v>
      </c>
      <c r="Y10" s="40" t="s">
        <v>425</v>
      </c>
      <c r="Z10" s="40" t="s">
        <v>425</v>
      </c>
      <c r="AA10" s="40" t="s">
        <v>425</v>
      </c>
      <c r="AB10" s="40" t="s">
        <v>425</v>
      </c>
      <c r="AC10" s="40" t="s">
        <v>425</v>
      </c>
      <c r="AD10" s="40" t="s">
        <v>425</v>
      </c>
      <c r="AE10" s="40" t="s">
        <v>425</v>
      </c>
      <c r="AF10" s="105"/>
      <c r="AG10" s="40" t="s">
        <v>425</v>
      </c>
      <c r="AH10" s="40" t="s">
        <v>425</v>
      </c>
      <c r="AI10" s="40" t="s">
        <v>425</v>
      </c>
      <c r="AJ10" s="40" t="s">
        <v>425</v>
      </c>
      <c r="AK10" s="40" t="s">
        <v>425</v>
      </c>
      <c r="AL10" s="40" t="s">
        <v>425</v>
      </c>
      <c r="AM10" s="40" t="s">
        <v>425</v>
      </c>
      <c r="AN10" s="40" t="s">
        <v>425</v>
      </c>
      <c r="AO10" s="40" t="s">
        <v>425</v>
      </c>
      <c r="AP10" s="40" t="s">
        <v>425</v>
      </c>
      <c r="AQ10" s="40" t="s">
        <v>425</v>
      </c>
      <c r="AR10" s="40" t="s">
        <v>425</v>
      </c>
    </row>
    <row r="11" spans="1:46">
      <c r="A11" s="38">
        <v>46077</v>
      </c>
      <c r="B11" s="39" t="s">
        <v>430</v>
      </c>
      <c r="C11" s="40" t="s">
        <v>425</v>
      </c>
      <c r="D11" s="40" t="s">
        <v>198</v>
      </c>
      <c r="E11" s="40" t="s">
        <v>198</v>
      </c>
      <c r="F11" s="40" t="s">
        <v>425</v>
      </c>
      <c r="G11" s="40" t="s">
        <v>425</v>
      </c>
      <c r="H11" s="40" t="s">
        <v>425</v>
      </c>
      <c r="I11" s="40" t="s">
        <v>425</v>
      </c>
      <c r="J11" s="105"/>
      <c r="K11" s="40" t="s">
        <v>425</v>
      </c>
      <c r="L11" s="40" t="s">
        <v>425</v>
      </c>
      <c r="M11" s="40" t="s">
        <v>425</v>
      </c>
      <c r="N11" s="40" t="s">
        <v>198</v>
      </c>
      <c r="O11" s="40" t="s">
        <v>198</v>
      </c>
      <c r="P11" s="40" t="s">
        <v>425</v>
      </c>
      <c r="Q11" s="40" t="s">
        <v>425</v>
      </c>
      <c r="R11" s="40" t="s">
        <v>425</v>
      </c>
      <c r="S11" s="40" t="s">
        <v>198</v>
      </c>
      <c r="T11" s="40" t="s">
        <v>425</v>
      </c>
      <c r="U11" s="40" t="s">
        <v>425</v>
      </c>
      <c r="V11" s="40" t="s">
        <v>425</v>
      </c>
      <c r="W11" s="40" t="s">
        <v>425</v>
      </c>
      <c r="X11" s="40" t="s">
        <v>425</v>
      </c>
      <c r="Y11" s="40" t="s">
        <v>425</v>
      </c>
      <c r="Z11" s="40" t="s">
        <v>425</v>
      </c>
      <c r="AA11" s="40" t="s">
        <v>425</v>
      </c>
      <c r="AB11" s="40" t="s">
        <v>425</v>
      </c>
      <c r="AC11" s="40" t="s">
        <v>425</v>
      </c>
      <c r="AD11" s="40" t="s">
        <v>425</v>
      </c>
      <c r="AE11" s="40" t="s">
        <v>425</v>
      </c>
      <c r="AF11" s="105"/>
      <c r="AG11" s="40" t="s">
        <v>425</v>
      </c>
      <c r="AH11" s="40" t="s">
        <v>425</v>
      </c>
      <c r="AI11" s="40" t="s">
        <v>425</v>
      </c>
      <c r="AJ11" s="40" t="s">
        <v>425</v>
      </c>
      <c r="AK11" s="40" t="s">
        <v>425</v>
      </c>
      <c r="AL11" s="40" t="s">
        <v>425</v>
      </c>
      <c r="AM11" s="40" t="s">
        <v>425</v>
      </c>
      <c r="AN11" s="40" t="s">
        <v>425</v>
      </c>
      <c r="AO11" s="40" t="s">
        <v>425</v>
      </c>
      <c r="AP11" s="40" t="s">
        <v>425</v>
      </c>
      <c r="AQ11" s="40" t="s">
        <v>425</v>
      </c>
      <c r="AR11" s="40" t="s">
        <v>425</v>
      </c>
    </row>
    <row r="12" spans="1:46">
      <c r="A12" s="38">
        <v>46078</v>
      </c>
      <c r="B12" s="39" t="s">
        <v>431</v>
      </c>
      <c r="C12" s="40" t="s">
        <v>425</v>
      </c>
      <c r="D12" s="40" t="s">
        <v>198</v>
      </c>
      <c r="E12" s="40" t="s">
        <v>198</v>
      </c>
      <c r="F12" s="40" t="s">
        <v>425</v>
      </c>
      <c r="G12" s="40" t="s">
        <v>425</v>
      </c>
      <c r="H12" s="40" t="s">
        <v>425</v>
      </c>
      <c r="I12" s="40" t="s">
        <v>425</v>
      </c>
      <c r="J12" s="105"/>
      <c r="K12" s="40" t="s">
        <v>425</v>
      </c>
      <c r="L12" s="40" t="s">
        <v>425</v>
      </c>
      <c r="M12" s="40" t="s">
        <v>425</v>
      </c>
      <c r="N12" s="40" t="s">
        <v>198</v>
      </c>
      <c r="O12" s="40" t="s">
        <v>198</v>
      </c>
      <c r="P12" s="40" t="s">
        <v>425</v>
      </c>
      <c r="Q12" s="40" t="s">
        <v>425</v>
      </c>
      <c r="R12" s="40" t="s">
        <v>425</v>
      </c>
      <c r="S12" s="40" t="s">
        <v>198</v>
      </c>
      <c r="T12" s="40" t="s">
        <v>425</v>
      </c>
      <c r="U12" s="40" t="s">
        <v>425</v>
      </c>
      <c r="V12" s="40" t="s">
        <v>425</v>
      </c>
      <c r="W12" s="40" t="s">
        <v>425</v>
      </c>
      <c r="X12" s="40" t="s">
        <v>425</v>
      </c>
      <c r="Y12" s="40" t="s">
        <v>425</v>
      </c>
      <c r="Z12" s="40" t="s">
        <v>425</v>
      </c>
      <c r="AA12" s="40" t="s">
        <v>425</v>
      </c>
      <c r="AB12" s="40" t="s">
        <v>425</v>
      </c>
      <c r="AC12" s="40" t="s">
        <v>425</v>
      </c>
      <c r="AD12" s="40" t="s">
        <v>425</v>
      </c>
      <c r="AE12" s="40" t="s">
        <v>425</v>
      </c>
      <c r="AF12" s="105"/>
      <c r="AG12" s="40" t="s">
        <v>425</v>
      </c>
      <c r="AH12" s="40" t="s">
        <v>425</v>
      </c>
      <c r="AI12" s="40" t="s">
        <v>425</v>
      </c>
      <c r="AJ12" s="40" t="s">
        <v>425</v>
      </c>
      <c r="AK12" s="40" t="s">
        <v>425</v>
      </c>
      <c r="AL12" s="40" t="s">
        <v>425</v>
      </c>
      <c r="AM12" s="40" t="s">
        <v>425</v>
      </c>
      <c r="AN12" s="40" t="s">
        <v>425</v>
      </c>
      <c r="AO12" s="40" t="s">
        <v>425</v>
      </c>
      <c r="AP12" s="40" t="s">
        <v>425</v>
      </c>
      <c r="AQ12" s="40" t="s">
        <v>425</v>
      </c>
      <c r="AR12" s="40" t="s">
        <v>425</v>
      </c>
    </row>
    <row r="13" spans="1:46">
      <c r="A13" s="38">
        <v>46079</v>
      </c>
      <c r="B13" s="39" t="s">
        <v>432</v>
      </c>
      <c r="C13" s="40" t="s">
        <v>425</v>
      </c>
      <c r="D13" s="40" t="s">
        <v>198</v>
      </c>
      <c r="E13" s="40" t="s">
        <v>198</v>
      </c>
      <c r="F13" s="40" t="s">
        <v>425</v>
      </c>
      <c r="G13" s="40" t="s">
        <v>425</v>
      </c>
      <c r="H13" s="40" t="s">
        <v>425</v>
      </c>
      <c r="I13" s="40" t="s">
        <v>425</v>
      </c>
      <c r="J13" s="105"/>
      <c r="K13" s="40" t="s">
        <v>425</v>
      </c>
      <c r="L13" s="40" t="s">
        <v>425</v>
      </c>
      <c r="M13" s="40" t="s">
        <v>425</v>
      </c>
      <c r="N13" s="40" t="s">
        <v>198</v>
      </c>
      <c r="O13" s="40" t="s">
        <v>198</v>
      </c>
      <c r="P13" s="40" t="s">
        <v>425</v>
      </c>
      <c r="Q13" s="40" t="s">
        <v>425</v>
      </c>
      <c r="R13" s="40" t="s">
        <v>425</v>
      </c>
      <c r="S13" s="40" t="s">
        <v>198</v>
      </c>
      <c r="T13" s="40" t="s">
        <v>425</v>
      </c>
      <c r="U13" s="40" t="s">
        <v>425</v>
      </c>
      <c r="V13" s="40" t="s">
        <v>425</v>
      </c>
      <c r="W13" s="40" t="s">
        <v>425</v>
      </c>
      <c r="X13" s="40" t="s">
        <v>425</v>
      </c>
      <c r="Y13" s="40" t="s">
        <v>425</v>
      </c>
      <c r="Z13" s="40" t="s">
        <v>425</v>
      </c>
      <c r="AA13" s="40" t="s">
        <v>425</v>
      </c>
      <c r="AB13" s="40" t="s">
        <v>425</v>
      </c>
      <c r="AC13" s="40" t="s">
        <v>425</v>
      </c>
      <c r="AD13" s="40" t="s">
        <v>425</v>
      </c>
      <c r="AE13" s="40" t="s">
        <v>425</v>
      </c>
      <c r="AF13" s="105"/>
      <c r="AG13" s="40" t="s">
        <v>425</v>
      </c>
      <c r="AH13" s="40" t="s">
        <v>425</v>
      </c>
      <c r="AI13" s="40" t="s">
        <v>425</v>
      </c>
      <c r="AJ13" s="40" t="s">
        <v>425</v>
      </c>
      <c r="AK13" s="40" t="s">
        <v>425</v>
      </c>
      <c r="AL13" s="40" t="s">
        <v>425</v>
      </c>
      <c r="AM13" s="40" t="s">
        <v>425</v>
      </c>
      <c r="AN13" s="40" t="s">
        <v>425</v>
      </c>
      <c r="AO13" s="40" t="s">
        <v>425</v>
      </c>
      <c r="AP13" s="40" t="s">
        <v>425</v>
      </c>
      <c r="AQ13" s="40" t="s">
        <v>425</v>
      </c>
      <c r="AR13" s="40" t="s">
        <v>425</v>
      </c>
    </row>
    <row r="14" spans="1:46">
      <c r="A14" s="38">
        <v>46080</v>
      </c>
      <c r="B14" s="39" t="s">
        <v>433</v>
      </c>
      <c r="C14" s="40" t="s">
        <v>425</v>
      </c>
      <c r="D14" s="40" t="s">
        <v>198</v>
      </c>
      <c r="E14" s="40" t="s">
        <v>198</v>
      </c>
      <c r="F14" s="40" t="s">
        <v>425</v>
      </c>
      <c r="G14" s="40" t="s">
        <v>425</v>
      </c>
      <c r="H14" s="40" t="s">
        <v>425</v>
      </c>
      <c r="I14" s="40" t="s">
        <v>425</v>
      </c>
      <c r="J14" s="105"/>
      <c r="K14" s="40" t="s">
        <v>425</v>
      </c>
      <c r="L14" s="40" t="s">
        <v>425</v>
      </c>
      <c r="M14" s="40" t="s">
        <v>425</v>
      </c>
      <c r="N14" s="40" t="s">
        <v>425</v>
      </c>
      <c r="O14" s="40" t="s">
        <v>198</v>
      </c>
      <c r="P14" s="40" t="s">
        <v>425</v>
      </c>
      <c r="Q14" s="40" t="s">
        <v>425</v>
      </c>
      <c r="R14" s="40" t="s">
        <v>425</v>
      </c>
      <c r="S14" s="40" t="s">
        <v>198</v>
      </c>
      <c r="T14" s="40" t="s">
        <v>425</v>
      </c>
      <c r="U14" s="40" t="s">
        <v>425</v>
      </c>
      <c r="V14" s="40" t="s">
        <v>425</v>
      </c>
      <c r="W14" s="40" t="s">
        <v>425</v>
      </c>
      <c r="X14" s="40" t="s">
        <v>425</v>
      </c>
      <c r="Y14" s="40" t="s">
        <v>425</v>
      </c>
      <c r="Z14" s="40" t="s">
        <v>425</v>
      </c>
      <c r="AA14" s="40" t="s">
        <v>425</v>
      </c>
      <c r="AB14" s="40" t="s">
        <v>425</v>
      </c>
      <c r="AC14" s="40" t="s">
        <v>425</v>
      </c>
      <c r="AD14" s="40" t="s">
        <v>425</v>
      </c>
      <c r="AE14" s="40" t="s">
        <v>425</v>
      </c>
      <c r="AF14" s="105"/>
      <c r="AG14" s="40" t="s">
        <v>425</v>
      </c>
      <c r="AH14" s="40" t="s">
        <v>425</v>
      </c>
      <c r="AI14" s="40" t="s">
        <v>425</v>
      </c>
      <c r="AJ14" s="40" t="s">
        <v>425</v>
      </c>
      <c r="AK14" s="40" t="s">
        <v>425</v>
      </c>
      <c r="AL14" s="40" t="s">
        <v>425</v>
      </c>
      <c r="AM14" s="40" t="s">
        <v>425</v>
      </c>
      <c r="AN14" s="40" t="s">
        <v>425</v>
      </c>
      <c r="AO14" s="40" t="s">
        <v>425</v>
      </c>
      <c r="AP14" s="40" t="s">
        <v>425</v>
      </c>
      <c r="AQ14" s="40" t="s">
        <v>425</v>
      </c>
      <c r="AR14" s="40" t="s">
        <v>425</v>
      </c>
    </row>
    <row r="15" spans="1:46">
      <c r="A15" s="38">
        <v>46083</v>
      </c>
      <c r="B15" s="39" t="s">
        <v>429</v>
      </c>
      <c r="C15" s="40" t="s">
        <v>425</v>
      </c>
      <c r="D15" s="40" t="s">
        <v>198</v>
      </c>
      <c r="E15" s="40" t="s">
        <v>198</v>
      </c>
      <c r="F15" s="40" t="s">
        <v>425</v>
      </c>
      <c r="G15" s="40" t="s">
        <v>425</v>
      </c>
      <c r="H15" s="40" t="s">
        <v>425</v>
      </c>
      <c r="I15" s="40" t="s">
        <v>425</v>
      </c>
      <c r="J15" s="105"/>
      <c r="K15" s="40" t="s">
        <v>425</v>
      </c>
      <c r="L15" s="40" t="s">
        <v>425</v>
      </c>
      <c r="M15" s="40" t="s">
        <v>425</v>
      </c>
      <c r="N15" s="40" t="s">
        <v>425</v>
      </c>
      <c r="O15" s="40" t="s">
        <v>425</v>
      </c>
      <c r="P15" s="40" t="s">
        <v>425</v>
      </c>
      <c r="Q15" s="40" t="s">
        <v>425</v>
      </c>
      <c r="R15" s="40" t="s">
        <v>425</v>
      </c>
      <c r="S15" s="40" t="s">
        <v>198</v>
      </c>
      <c r="T15" s="40" t="s">
        <v>425</v>
      </c>
      <c r="U15" s="40" t="s">
        <v>425</v>
      </c>
      <c r="V15" s="40" t="s">
        <v>425</v>
      </c>
      <c r="W15" s="40" t="s">
        <v>425</v>
      </c>
      <c r="X15" s="40" t="s">
        <v>425</v>
      </c>
      <c r="Y15" s="40" t="s">
        <v>425</v>
      </c>
      <c r="Z15" s="40" t="s">
        <v>425</v>
      </c>
      <c r="AA15" s="40" t="s">
        <v>425</v>
      </c>
      <c r="AB15" s="40" t="s">
        <v>425</v>
      </c>
      <c r="AC15" s="40" t="s">
        <v>425</v>
      </c>
      <c r="AD15" s="40" t="s">
        <v>425</v>
      </c>
      <c r="AE15" s="40" t="s">
        <v>425</v>
      </c>
      <c r="AF15" s="105"/>
      <c r="AG15" s="40" t="s">
        <v>425</v>
      </c>
      <c r="AH15" s="40" t="s">
        <v>425</v>
      </c>
      <c r="AI15" s="40" t="s">
        <v>425</v>
      </c>
      <c r="AJ15" s="40" t="s">
        <v>425</v>
      </c>
      <c r="AK15" s="40" t="s">
        <v>425</v>
      </c>
      <c r="AL15" s="40" t="s">
        <v>425</v>
      </c>
      <c r="AM15" s="40" t="s">
        <v>425</v>
      </c>
      <c r="AN15" s="40" t="s">
        <v>425</v>
      </c>
      <c r="AO15" s="40" t="s">
        <v>425</v>
      </c>
      <c r="AP15" s="40" t="s">
        <v>425</v>
      </c>
      <c r="AQ15" s="40" t="s">
        <v>425</v>
      </c>
      <c r="AR15" s="40" t="s">
        <v>425</v>
      </c>
    </row>
    <row r="16" spans="1:46">
      <c r="A16" s="38">
        <v>46084</v>
      </c>
      <c r="B16" s="39" t="s">
        <v>430</v>
      </c>
      <c r="C16" s="40" t="s">
        <v>425</v>
      </c>
      <c r="D16" s="40" t="s">
        <v>198</v>
      </c>
      <c r="E16" s="40" t="s">
        <v>198</v>
      </c>
      <c r="F16" s="40" t="s">
        <v>425</v>
      </c>
      <c r="G16" s="40" t="s">
        <v>425</v>
      </c>
      <c r="H16" s="40" t="s">
        <v>425</v>
      </c>
      <c r="I16" s="40" t="s">
        <v>425</v>
      </c>
      <c r="J16" s="105"/>
      <c r="K16" s="40" t="s">
        <v>425</v>
      </c>
      <c r="L16" s="40" t="s">
        <v>425</v>
      </c>
      <c r="M16" s="40" t="s">
        <v>425</v>
      </c>
      <c r="N16" s="40" t="s">
        <v>425</v>
      </c>
      <c r="O16" s="40" t="s">
        <v>425</v>
      </c>
      <c r="P16" s="40" t="s">
        <v>425</v>
      </c>
      <c r="Q16" s="40" t="s">
        <v>425</v>
      </c>
      <c r="R16" s="40" t="s">
        <v>425</v>
      </c>
      <c r="S16" s="40" t="s">
        <v>198</v>
      </c>
      <c r="T16" s="40" t="s">
        <v>425</v>
      </c>
      <c r="U16" s="40" t="s">
        <v>425</v>
      </c>
      <c r="V16" s="40" t="s">
        <v>425</v>
      </c>
      <c r="W16" s="40" t="s">
        <v>425</v>
      </c>
      <c r="X16" s="40" t="s">
        <v>425</v>
      </c>
      <c r="Y16" s="40" t="s">
        <v>425</v>
      </c>
      <c r="Z16" s="40" t="s">
        <v>425</v>
      </c>
      <c r="AA16" s="40" t="s">
        <v>425</v>
      </c>
      <c r="AB16" s="40" t="s">
        <v>425</v>
      </c>
      <c r="AC16" s="40" t="s">
        <v>425</v>
      </c>
      <c r="AD16" s="40" t="s">
        <v>425</v>
      </c>
      <c r="AE16" s="40" t="s">
        <v>425</v>
      </c>
      <c r="AF16" s="106"/>
      <c r="AG16" s="40" t="s">
        <v>425</v>
      </c>
      <c r="AH16" s="40" t="s">
        <v>425</v>
      </c>
      <c r="AI16" s="40" t="s">
        <v>425</v>
      </c>
      <c r="AJ16" s="40" t="s">
        <v>425</v>
      </c>
      <c r="AK16" s="40" t="s">
        <v>425</v>
      </c>
      <c r="AL16" s="40" t="s">
        <v>425</v>
      </c>
      <c r="AM16" s="40" t="s">
        <v>425</v>
      </c>
      <c r="AN16" s="40" t="s">
        <v>425</v>
      </c>
      <c r="AO16" s="40" t="s">
        <v>425</v>
      </c>
      <c r="AP16" s="40" t="s">
        <v>425</v>
      </c>
      <c r="AQ16" s="40" t="s">
        <v>425</v>
      </c>
      <c r="AR16" s="40" t="s">
        <v>425</v>
      </c>
    </row>
    <row r="17" spans="1:44">
      <c r="A17" s="38">
        <v>46085</v>
      </c>
      <c r="B17" s="39" t="s">
        <v>431</v>
      </c>
      <c r="C17" s="40" t="s">
        <v>425</v>
      </c>
      <c r="D17" s="40" t="s">
        <v>198</v>
      </c>
      <c r="E17" s="40" t="s">
        <v>198</v>
      </c>
      <c r="F17" s="40" t="s">
        <v>425</v>
      </c>
      <c r="G17" s="40" t="s">
        <v>425</v>
      </c>
      <c r="H17" s="40" t="s">
        <v>425</v>
      </c>
      <c r="I17" s="40" t="s">
        <v>425</v>
      </c>
      <c r="J17" s="105"/>
      <c r="K17" s="40" t="s">
        <v>425</v>
      </c>
      <c r="L17" s="40" t="s">
        <v>425</v>
      </c>
      <c r="M17" s="40" t="s">
        <v>425</v>
      </c>
      <c r="N17" s="40" t="s">
        <v>425</v>
      </c>
      <c r="O17" s="40" t="s">
        <v>425</v>
      </c>
      <c r="P17" s="40" t="s">
        <v>425</v>
      </c>
      <c r="Q17" s="40" t="s">
        <v>425</v>
      </c>
      <c r="R17" s="40" t="s">
        <v>425</v>
      </c>
      <c r="S17" s="40" t="s">
        <v>198</v>
      </c>
      <c r="T17" s="40" t="s">
        <v>425</v>
      </c>
      <c r="U17" s="40" t="s">
        <v>425</v>
      </c>
      <c r="V17" s="40" t="s">
        <v>425</v>
      </c>
      <c r="W17" s="40" t="s">
        <v>425</v>
      </c>
      <c r="X17" s="40" t="s">
        <v>425</v>
      </c>
      <c r="Y17" s="40" t="s">
        <v>425</v>
      </c>
      <c r="Z17" s="40" t="s">
        <v>425</v>
      </c>
      <c r="AA17" s="40" t="s">
        <v>425</v>
      </c>
      <c r="AB17" s="40" t="s">
        <v>425</v>
      </c>
      <c r="AC17" s="40" t="s">
        <v>425</v>
      </c>
      <c r="AD17" s="40" t="s">
        <v>425</v>
      </c>
      <c r="AE17" s="40" t="s">
        <v>425</v>
      </c>
      <c r="AF17" s="40" t="s">
        <v>425</v>
      </c>
      <c r="AG17" s="40" t="s">
        <v>425</v>
      </c>
      <c r="AH17" s="40" t="s">
        <v>425</v>
      </c>
      <c r="AI17" s="40" t="s">
        <v>425</v>
      </c>
      <c r="AJ17" s="40" t="s">
        <v>425</v>
      </c>
      <c r="AK17" s="40" t="s">
        <v>425</v>
      </c>
      <c r="AL17" s="40" t="s">
        <v>425</v>
      </c>
      <c r="AM17" s="40" t="s">
        <v>425</v>
      </c>
      <c r="AN17" s="40" t="s">
        <v>425</v>
      </c>
      <c r="AO17" s="40" t="s">
        <v>425</v>
      </c>
      <c r="AP17" s="40" t="s">
        <v>425</v>
      </c>
      <c r="AQ17" s="40" t="s">
        <v>425</v>
      </c>
      <c r="AR17" s="40" t="s">
        <v>425</v>
      </c>
    </row>
    <row r="18" spans="1:44">
      <c r="A18" s="38">
        <v>46086</v>
      </c>
      <c r="B18" s="39" t="s">
        <v>432</v>
      </c>
      <c r="C18" s="40" t="s">
        <v>425</v>
      </c>
      <c r="D18" s="40" t="s">
        <v>198</v>
      </c>
      <c r="E18" s="40" t="s">
        <v>198</v>
      </c>
      <c r="F18" s="40" t="s">
        <v>425</v>
      </c>
      <c r="G18" s="40" t="s">
        <v>425</v>
      </c>
      <c r="H18" s="40" t="s">
        <v>425</v>
      </c>
      <c r="I18" s="40" t="s">
        <v>425</v>
      </c>
      <c r="J18" s="105"/>
      <c r="K18" s="40" t="s">
        <v>425</v>
      </c>
      <c r="L18" s="40" t="s">
        <v>425</v>
      </c>
      <c r="M18" s="40" t="s">
        <v>425</v>
      </c>
      <c r="N18" s="40" t="s">
        <v>425</v>
      </c>
      <c r="O18" s="40" t="s">
        <v>425</v>
      </c>
      <c r="P18" s="40" t="s">
        <v>425</v>
      </c>
      <c r="Q18" s="40" t="s">
        <v>425</v>
      </c>
      <c r="R18" s="40" t="s">
        <v>425</v>
      </c>
      <c r="S18" s="40" t="s">
        <v>198</v>
      </c>
      <c r="T18" s="40" t="s">
        <v>425</v>
      </c>
      <c r="U18" s="40" t="s">
        <v>425</v>
      </c>
      <c r="V18" s="40" t="s">
        <v>425</v>
      </c>
      <c r="W18" s="40" t="s">
        <v>425</v>
      </c>
      <c r="X18" s="40" t="s">
        <v>425</v>
      </c>
      <c r="Y18" s="40" t="s">
        <v>425</v>
      </c>
      <c r="Z18" s="40" t="s">
        <v>425</v>
      </c>
      <c r="AA18" s="40" t="s">
        <v>425</v>
      </c>
      <c r="AB18" s="40" t="s">
        <v>425</v>
      </c>
      <c r="AC18" s="40" t="s">
        <v>425</v>
      </c>
      <c r="AD18" s="40" t="s">
        <v>425</v>
      </c>
      <c r="AE18" s="40" t="s">
        <v>425</v>
      </c>
      <c r="AF18" s="40" t="s">
        <v>425</v>
      </c>
      <c r="AG18" s="40" t="s">
        <v>425</v>
      </c>
      <c r="AH18" s="40" t="s">
        <v>425</v>
      </c>
      <c r="AI18" s="40" t="s">
        <v>425</v>
      </c>
      <c r="AJ18" s="40" t="s">
        <v>425</v>
      </c>
      <c r="AK18" s="40" t="s">
        <v>425</v>
      </c>
      <c r="AL18" s="40" t="s">
        <v>425</v>
      </c>
      <c r="AM18" s="40" t="s">
        <v>425</v>
      </c>
      <c r="AN18" s="40" t="s">
        <v>425</v>
      </c>
      <c r="AO18" s="40" t="s">
        <v>425</v>
      </c>
      <c r="AP18" s="40" t="s">
        <v>425</v>
      </c>
      <c r="AQ18" s="40" t="s">
        <v>425</v>
      </c>
      <c r="AR18" s="40" t="s">
        <v>425</v>
      </c>
    </row>
    <row r="19" spans="1:44">
      <c r="A19" s="38">
        <v>46087</v>
      </c>
      <c r="B19" s="39" t="s">
        <v>433</v>
      </c>
      <c r="C19" s="40" t="s">
        <v>425</v>
      </c>
      <c r="D19" s="40" t="s">
        <v>198</v>
      </c>
      <c r="E19" s="40" t="s">
        <v>198</v>
      </c>
      <c r="F19" s="40" t="s">
        <v>425</v>
      </c>
      <c r="G19" s="40" t="s">
        <v>425</v>
      </c>
      <c r="H19" s="40" t="s">
        <v>425</v>
      </c>
      <c r="I19" s="40" t="s">
        <v>425</v>
      </c>
      <c r="J19" s="106"/>
      <c r="K19" s="40" t="s">
        <v>425</v>
      </c>
      <c r="L19" s="40" t="s">
        <v>425</v>
      </c>
      <c r="M19" s="40" t="s">
        <v>425</v>
      </c>
      <c r="N19" s="40" t="s">
        <v>425</v>
      </c>
      <c r="O19" s="40" t="s">
        <v>425</v>
      </c>
      <c r="P19" s="40" t="s">
        <v>425</v>
      </c>
      <c r="Q19" s="40" t="s">
        <v>425</v>
      </c>
      <c r="R19" s="40" t="s">
        <v>425</v>
      </c>
      <c r="S19" s="40" t="s">
        <v>198</v>
      </c>
      <c r="T19" s="40" t="s">
        <v>425</v>
      </c>
      <c r="U19" s="40" t="s">
        <v>425</v>
      </c>
      <c r="V19" s="40" t="s">
        <v>425</v>
      </c>
      <c r="W19" s="40" t="s">
        <v>425</v>
      </c>
      <c r="X19" s="40" t="s">
        <v>425</v>
      </c>
      <c r="Y19" s="40" t="s">
        <v>425</v>
      </c>
      <c r="Z19" s="40" t="s">
        <v>425</v>
      </c>
      <c r="AA19" s="40" t="s">
        <v>425</v>
      </c>
      <c r="AB19" s="40" t="s">
        <v>425</v>
      </c>
      <c r="AC19" s="40" t="s">
        <v>425</v>
      </c>
      <c r="AD19" s="40" t="s">
        <v>425</v>
      </c>
      <c r="AE19" s="40" t="s">
        <v>425</v>
      </c>
      <c r="AF19" s="40" t="s">
        <v>425</v>
      </c>
      <c r="AG19" s="40" t="s">
        <v>425</v>
      </c>
      <c r="AH19" s="40" t="s">
        <v>425</v>
      </c>
      <c r="AI19" s="40" t="s">
        <v>425</v>
      </c>
      <c r="AJ19" s="40" t="s">
        <v>425</v>
      </c>
      <c r="AK19" s="40" t="s">
        <v>425</v>
      </c>
      <c r="AL19" s="40" t="s">
        <v>425</v>
      </c>
      <c r="AM19" s="40" t="s">
        <v>425</v>
      </c>
      <c r="AN19" s="40" t="s">
        <v>425</v>
      </c>
      <c r="AO19" s="40" t="s">
        <v>425</v>
      </c>
      <c r="AP19" s="40" t="s">
        <v>425</v>
      </c>
      <c r="AQ19" s="40" t="s">
        <v>425</v>
      </c>
      <c r="AR19" s="40" t="s">
        <v>425</v>
      </c>
    </row>
    <row r="20" spans="1:44">
      <c r="A20" s="38">
        <v>46090</v>
      </c>
      <c r="B20" s="39" t="s">
        <v>429</v>
      </c>
      <c r="C20" s="40" t="s">
        <v>198</v>
      </c>
      <c r="D20" s="40" t="s">
        <v>198</v>
      </c>
      <c r="E20" s="40" t="s">
        <v>198</v>
      </c>
      <c r="F20" s="40" t="s">
        <v>425</v>
      </c>
      <c r="G20" s="40" t="s">
        <v>425</v>
      </c>
      <c r="H20" s="40" t="s">
        <v>425</v>
      </c>
      <c r="I20" s="40" t="s">
        <v>425</v>
      </c>
      <c r="J20" s="40" t="s">
        <v>425</v>
      </c>
      <c r="K20" s="40" t="s">
        <v>425</v>
      </c>
      <c r="L20" s="40" t="s">
        <v>425</v>
      </c>
      <c r="M20" s="40" t="s">
        <v>425</v>
      </c>
      <c r="N20" s="40" t="s">
        <v>425</v>
      </c>
      <c r="O20" s="40" t="s">
        <v>425</v>
      </c>
      <c r="P20" s="40" t="s">
        <v>425</v>
      </c>
      <c r="Q20" s="40" t="s">
        <v>425</v>
      </c>
      <c r="R20" s="40" t="s">
        <v>425</v>
      </c>
      <c r="S20" s="40" t="s">
        <v>198</v>
      </c>
      <c r="T20" s="40" t="s">
        <v>425</v>
      </c>
      <c r="U20" s="40" t="s">
        <v>425</v>
      </c>
      <c r="V20" s="40" t="s">
        <v>425</v>
      </c>
      <c r="W20" s="40" t="s">
        <v>425</v>
      </c>
      <c r="X20" s="40" t="s">
        <v>425</v>
      </c>
      <c r="Y20" s="40" t="s">
        <v>425</v>
      </c>
      <c r="Z20" s="40" t="s">
        <v>425</v>
      </c>
      <c r="AA20" s="40" t="s">
        <v>425</v>
      </c>
      <c r="AB20" s="40" t="s">
        <v>425</v>
      </c>
      <c r="AC20" s="40" t="s">
        <v>425</v>
      </c>
      <c r="AD20" s="40" t="s">
        <v>425</v>
      </c>
      <c r="AE20" s="40" t="s">
        <v>425</v>
      </c>
      <c r="AF20" s="40" t="s">
        <v>425</v>
      </c>
      <c r="AG20" s="40" t="s">
        <v>425</v>
      </c>
      <c r="AH20" s="40" t="s">
        <v>425</v>
      </c>
      <c r="AI20" s="40" t="s">
        <v>425</v>
      </c>
      <c r="AJ20" s="40" t="s">
        <v>425</v>
      </c>
      <c r="AK20" s="40" t="s">
        <v>425</v>
      </c>
      <c r="AL20" s="40" t="s">
        <v>425</v>
      </c>
      <c r="AM20" s="40" t="s">
        <v>425</v>
      </c>
      <c r="AN20" s="40" t="s">
        <v>425</v>
      </c>
      <c r="AO20" s="40" t="s">
        <v>425</v>
      </c>
      <c r="AP20" s="40" t="s">
        <v>425</v>
      </c>
      <c r="AQ20" s="40" t="s">
        <v>425</v>
      </c>
      <c r="AR20" s="40" t="s">
        <v>425</v>
      </c>
    </row>
    <row r="21" spans="1:44">
      <c r="A21" s="38">
        <v>46091</v>
      </c>
      <c r="B21" s="39" t="s">
        <v>430</v>
      </c>
      <c r="C21" s="40" t="s">
        <v>425</v>
      </c>
      <c r="D21" s="40" t="s">
        <v>198</v>
      </c>
      <c r="E21" s="40" t="s">
        <v>198</v>
      </c>
      <c r="F21" s="40" t="s">
        <v>425</v>
      </c>
      <c r="G21" s="40" t="s">
        <v>425</v>
      </c>
      <c r="H21" s="40" t="s">
        <v>425</v>
      </c>
      <c r="I21" s="40" t="s">
        <v>425</v>
      </c>
      <c r="J21" s="40" t="s">
        <v>425</v>
      </c>
      <c r="K21" s="40" t="s">
        <v>425</v>
      </c>
      <c r="L21" s="40" t="s">
        <v>425</v>
      </c>
      <c r="M21" s="40" t="s">
        <v>425</v>
      </c>
      <c r="N21" s="40" t="s">
        <v>425</v>
      </c>
      <c r="O21" s="40" t="s">
        <v>425</v>
      </c>
      <c r="P21" s="40" t="s">
        <v>425</v>
      </c>
      <c r="Q21" s="40" t="s">
        <v>425</v>
      </c>
      <c r="R21" s="40" t="s">
        <v>425</v>
      </c>
      <c r="S21" s="40" t="s">
        <v>198</v>
      </c>
      <c r="T21" s="40" t="s">
        <v>425</v>
      </c>
      <c r="U21" s="40" t="s">
        <v>425</v>
      </c>
      <c r="V21" s="40" t="s">
        <v>425</v>
      </c>
      <c r="W21" s="40" t="s">
        <v>425</v>
      </c>
      <c r="X21" s="40" t="s">
        <v>425</v>
      </c>
      <c r="Y21" s="40" t="s">
        <v>425</v>
      </c>
      <c r="Z21" s="40" t="s">
        <v>425</v>
      </c>
      <c r="AA21" s="40" t="s">
        <v>425</v>
      </c>
      <c r="AB21" s="40" t="s">
        <v>425</v>
      </c>
      <c r="AC21" s="40" t="s">
        <v>425</v>
      </c>
      <c r="AD21" s="40" t="s">
        <v>425</v>
      </c>
      <c r="AE21" s="40" t="s">
        <v>425</v>
      </c>
      <c r="AF21" s="40" t="s">
        <v>425</v>
      </c>
      <c r="AG21" s="40" t="s">
        <v>425</v>
      </c>
      <c r="AH21" s="40" t="s">
        <v>425</v>
      </c>
      <c r="AI21" s="40" t="s">
        <v>425</v>
      </c>
      <c r="AJ21" s="40" t="s">
        <v>425</v>
      </c>
      <c r="AK21" s="40" t="s">
        <v>425</v>
      </c>
      <c r="AL21" s="40" t="s">
        <v>425</v>
      </c>
      <c r="AM21" s="40" t="s">
        <v>425</v>
      </c>
      <c r="AN21" s="40" t="s">
        <v>425</v>
      </c>
      <c r="AO21" s="40" t="s">
        <v>425</v>
      </c>
      <c r="AP21" s="40" t="s">
        <v>425</v>
      </c>
      <c r="AQ21" s="40" t="s">
        <v>425</v>
      </c>
      <c r="AR21" s="40" t="s">
        <v>425</v>
      </c>
    </row>
    <row r="22" spans="1:44">
      <c r="A22" s="38">
        <v>46092</v>
      </c>
      <c r="B22" s="39" t="s">
        <v>431</v>
      </c>
      <c r="C22" s="40" t="s">
        <v>425</v>
      </c>
      <c r="D22" s="40" t="s">
        <v>198</v>
      </c>
      <c r="E22" s="40" t="s">
        <v>198</v>
      </c>
      <c r="F22" s="40" t="s">
        <v>425</v>
      </c>
      <c r="G22" s="40" t="s">
        <v>425</v>
      </c>
      <c r="H22" s="40" t="s">
        <v>425</v>
      </c>
      <c r="I22" s="40" t="s">
        <v>425</v>
      </c>
      <c r="J22" s="40" t="s">
        <v>425</v>
      </c>
      <c r="K22" s="40" t="s">
        <v>425</v>
      </c>
      <c r="L22" s="40" t="s">
        <v>425</v>
      </c>
      <c r="M22" s="40" t="s">
        <v>425</v>
      </c>
      <c r="N22" s="40" t="s">
        <v>425</v>
      </c>
      <c r="O22" s="40" t="s">
        <v>425</v>
      </c>
      <c r="P22" s="40" t="s">
        <v>425</v>
      </c>
      <c r="Q22" s="40" t="s">
        <v>425</v>
      </c>
      <c r="R22" s="40" t="s">
        <v>425</v>
      </c>
      <c r="S22" s="40" t="s">
        <v>198</v>
      </c>
      <c r="T22" s="40" t="s">
        <v>425</v>
      </c>
      <c r="U22" s="40" t="s">
        <v>425</v>
      </c>
      <c r="V22" s="40" t="s">
        <v>425</v>
      </c>
      <c r="W22" s="40" t="s">
        <v>425</v>
      </c>
      <c r="X22" s="40" t="s">
        <v>425</v>
      </c>
      <c r="Y22" s="40" t="s">
        <v>425</v>
      </c>
      <c r="Z22" s="40" t="s">
        <v>425</v>
      </c>
      <c r="AA22" s="40" t="s">
        <v>425</v>
      </c>
      <c r="AB22" s="40" t="s">
        <v>425</v>
      </c>
      <c r="AC22" s="40" t="s">
        <v>425</v>
      </c>
      <c r="AD22" s="40" t="s">
        <v>425</v>
      </c>
      <c r="AE22" s="40" t="s">
        <v>425</v>
      </c>
      <c r="AF22" s="40" t="s">
        <v>425</v>
      </c>
      <c r="AG22" s="40" t="s">
        <v>425</v>
      </c>
      <c r="AH22" s="40" t="s">
        <v>425</v>
      </c>
      <c r="AI22" s="40" t="s">
        <v>425</v>
      </c>
      <c r="AJ22" s="40" t="s">
        <v>425</v>
      </c>
      <c r="AK22" s="40" t="s">
        <v>425</v>
      </c>
      <c r="AL22" s="40" t="s">
        <v>425</v>
      </c>
      <c r="AM22" s="40" t="s">
        <v>425</v>
      </c>
      <c r="AN22" s="40" t="s">
        <v>425</v>
      </c>
      <c r="AO22" s="40" t="s">
        <v>425</v>
      </c>
      <c r="AP22" s="40" t="s">
        <v>425</v>
      </c>
      <c r="AQ22" s="40" t="s">
        <v>425</v>
      </c>
      <c r="AR22" s="40" t="s">
        <v>425</v>
      </c>
    </row>
    <row r="23" spans="1:44">
      <c r="A23" s="38">
        <v>46093</v>
      </c>
      <c r="B23" s="39" t="s">
        <v>432</v>
      </c>
      <c r="C23" s="40" t="s">
        <v>425</v>
      </c>
      <c r="D23" s="40" t="s">
        <v>198</v>
      </c>
      <c r="E23" s="40" t="s">
        <v>198</v>
      </c>
      <c r="F23" s="40" t="s">
        <v>425</v>
      </c>
      <c r="G23" s="40" t="s">
        <v>425</v>
      </c>
      <c r="H23" s="40" t="s">
        <v>425</v>
      </c>
      <c r="I23" s="40" t="s">
        <v>425</v>
      </c>
      <c r="J23" s="40" t="s">
        <v>425</v>
      </c>
      <c r="K23" s="40" t="s">
        <v>425</v>
      </c>
      <c r="L23" s="40" t="s">
        <v>425</v>
      </c>
      <c r="M23" s="40" t="s">
        <v>425</v>
      </c>
      <c r="N23" s="40" t="s">
        <v>425</v>
      </c>
      <c r="O23" s="40" t="s">
        <v>425</v>
      </c>
      <c r="P23" s="40" t="s">
        <v>425</v>
      </c>
      <c r="Q23" s="40" t="s">
        <v>425</v>
      </c>
      <c r="R23" s="40" t="s">
        <v>425</v>
      </c>
      <c r="S23" s="40" t="s">
        <v>198</v>
      </c>
      <c r="T23" s="40" t="s">
        <v>425</v>
      </c>
      <c r="U23" s="40" t="s">
        <v>425</v>
      </c>
      <c r="V23" s="40" t="s">
        <v>425</v>
      </c>
      <c r="W23" s="40" t="s">
        <v>425</v>
      </c>
      <c r="X23" s="40" t="s">
        <v>425</v>
      </c>
      <c r="Y23" s="40" t="s">
        <v>425</v>
      </c>
      <c r="Z23" s="40" t="s">
        <v>425</v>
      </c>
      <c r="AA23" s="40" t="s">
        <v>425</v>
      </c>
      <c r="AB23" s="40" t="s">
        <v>425</v>
      </c>
      <c r="AC23" s="40" t="s">
        <v>425</v>
      </c>
      <c r="AD23" s="40" t="s">
        <v>425</v>
      </c>
      <c r="AE23" s="40" t="s">
        <v>425</v>
      </c>
      <c r="AF23" s="40" t="s">
        <v>425</v>
      </c>
      <c r="AG23" s="40" t="s">
        <v>425</v>
      </c>
      <c r="AH23" s="40" t="s">
        <v>425</v>
      </c>
      <c r="AI23" s="40" t="s">
        <v>425</v>
      </c>
      <c r="AJ23" s="40" t="s">
        <v>425</v>
      </c>
      <c r="AK23" s="40" t="s">
        <v>425</v>
      </c>
      <c r="AL23" s="40" t="s">
        <v>425</v>
      </c>
      <c r="AM23" s="40" t="s">
        <v>425</v>
      </c>
      <c r="AN23" s="40" t="s">
        <v>425</v>
      </c>
      <c r="AO23" s="40" t="s">
        <v>425</v>
      </c>
      <c r="AP23" s="40" t="s">
        <v>425</v>
      </c>
      <c r="AQ23" s="40" t="s">
        <v>425</v>
      </c>
      <c r="AR23" s="40" t="s">
        <v>425</v>
      </c>
    </row>
    <row r="24" spans="1:44">
      <c r="A24" s="38">
        <v>46094</v>
      </c>
      <c r="B24" s="39" t="s">
        <v>433</v>
      </c>
      <c r="C24" s="40" t="s">
        <v>425</v>
      </c>
      <c r="D24" s="40" t="s">
        <v>198</v>
      </c>
      <c r="E24" s="40" t="s">
        <v>198</v>
      </c>
      <c r="F24" s="40" t="s">
        <v>425</v>
      </c>
      <c r="G24" s="40" t="s">
        <v>425</v>
      </c>
      <c r="H24" s="40" t="s">
        <v>425</v>
      </c>
      <c r="I24" s="40" t="s">
        <v>425</v>
      </c>
      <c r="J24" s="40" t="s">
        <v>425</v>
      </c>
      <c r="K24" s="40" t="s">
        <v>425</v>
      </c>
      <c r="L24" s="40" t="s">
        <v>425</v>
      </c>
      <c r="M24" s="40" t="s">
        <v>425</v>
      </c>
      <c r="N24" s="40" t="s">
        <v>425</v>
      </c>
      <c r="O24" s="40" t="s">
        <v>425</v>
      </c>
      <c r="P24" s="40" t="s">
        <v>425</v>
      </c>
      <c r="Q24" s="40" t="s">
        <v>425</v>
      </c>
      <c r="R24" s="40" t="s">
        <v>425</v>
      </c>
      <c r="S24" s="40" t="s">
        <v>198</v>
      </c>
      <c r="T24" s="40" t="s">
        <v>425</v>
      </c>
      <c r="U24" s="40" t="s">
        <v>425</v>
      </c>
      <c r="V24" s="40" t="s">
        <v>425</v>
      </c>
      <c r="W24" s="40" t="s">
        <v>425</v>
      </c>
      <c r="X24" s="40" t="s">
        <v>425</v>
      </c>
      <c r="Y24" s="40" t="s">
        <v>425</v>
      </c>
      <c r="Z24" s="40" t="s">
        <v>425</v>
      </c>
      <c r="AA24" s="40" t="s">
        <v>425</v>
      </c>
      <c r="AB24" s="40" t="s">
        <v>425</v>
      </c>
      <c r="AC24" s="40" t="s">
        <v>425</v>
      </c>
      <c r="AD24" s="40" t="s">
        <v>425</v>
      </c>
      <c r="AE24" s="40" t="s">
        <v>425</v>
      </c>
      <c r="AF24" s="40" t="s">
        <v>425</v>
      </c>
      <c r="AG24" s="40" t="s">
        <v>425</v>
      </c>
      <c r="AH24" s="40" t="s">
        <v>425</v>
      </c>
      <c r="AI24" s="40" t="s">
        <v>425</v>
      </c>
      <c r="AJ24" s="40" t="s">
        <v>425</v>
      </c>
      <c r="AK24" s="40" t="s">
        <v>425</v>
      </c>
      <c r="AL24" s="40" t="s">
        <v>425</v>
      </c>
      <c r="AM24" s="40" t="s">
        <v>425</v>
      </c>
      <c r="AN24" s="40" t="s">
        <v>425</v>
      </c>
      <c r="AO24" s="40" t="s">
        <v>425</v>
      </c>
      <c r="AP24" s="40" t="s">
        <v>425</v>
      </c>
      <c r="AQ24" s="40" t="s">
        <v>425</v>
      </c>
      <c r="AR24" s="40" t="s">
        <v>425</v>
      </c>
    </row>
    <row r="25" spans="1:44">
      <c r="A25" s="38">
        <v>46097</v>
      </c>
      <c r="B25" s="39" t="s">
        <v>429</v>
      </c>
      <c r="C25" s="40" t="s">
        <v>425</v>
      </c>
      <c r="D25" s="40" t="s">
        <v>198</v>
      </c>
      <c r="E25" s="40" t="s">
        <v>198</v>
      </c>
      <c r="F25" s="40" t="s">
        <v>425</v>
      </c>
      <c r="G25" s="40" t="s">
        <v>425</v>
      </c>
      <c r="H25" s="40" t="s">
        <v>425</v>
      </c>
      <c r="I25" s="40" t="s">
        <v>425</v>
      </c>
      <c r="J25" s="40" t="s">
        <v>425</v>
      </c>
      <c r="K25" s="40" t="s">
        <v>425</v>
      </c>
      <c r="L25" s="40" t="s">
        <v>425</v>
      </c>
      <c r="M25" s="40" t="s">
        <v>425</v>
      </c>
      <c r="N25" s="40" t="s">
        <v>425</v>
      </c>
      <c r="O25" s="40" t="s">
        <v>425</v>
      </c>
      <c r="P25" s="40" t="s">
        <v>425</v>
      </c>
      <c r="Q25" s="40" t="s">
        <v>425</v>
      </c>
      <c r="R25" s="40" t="s">
        <v>425</v>
      </c>
      <c r="S25" s="40" t="s">
        <v>198</v>
      </c>
      <c r="T25" s="40" t="s">
        <v>425</v>
      </c>
      <c r="U25" s="40" t="s">
        <v>425</v>
      </c>
      <c r="V25" s="40" t="s">
        <v>425</v>
      </c>
      <c r="W25" s="40" t="s">
        <v>425</v>
      </c>
      <c r="X25" s="40" t="s">
        <v>425</v>
      </c>
      <c r="Y25" s="40" t="s">
        <v>425</v>
      </c>
      <c r="Z25" s="40" t="s">
        <v>425</v>
      </c>
      <c r="AA25" s="40" t="s">
        <v>425</v>
      </c>
      <c r="AB25" s="40" t="s">
        <v>425</v>
      </c>
      <c r="AC25" s="40" t="s">
        <v>425</v>
      </c>
      <c r="AD25" s="40" t="s">
        <v>425</v>
      </c>
      <c r="AE25" s="40" t="s">
        <v>425</v>
      </c>
      <c r="AF25" s="40" t="s">
        <v>425</v>
      </c>
      <c r="AG25" s="40" t="s">
        <v>425</v>
      </c>
      <c r="AH25" s="40" t="s">
        <v>425</v>
      </c>
      <c r="AI25" s="40" t="s">
        <v>425</v>
      </c>
      <c r="AJ25" s="40" t="s">
        <v>425</v>
      </c>
      <c r="AK25" s="40" t="s">
        <v>425</v>
      </c>
      <c r="AL25" s="40" t="s">
        <v>425</v>
      </c>
      <c r="AM25" s="40" t="s">
        <v>425</v>
      </c>
      <c r="AN25" s="40" t="s">
        <v>425</v>
      </c>
      <c r="AO25" s="40" t="s">
        <v>425</v>
      </c>
      <c r="AP25" s="40" t="s">
        <v>425</v>
      </c>
      <c r="AQ25" s="40" t="s">
        <v>425</v>
      </c>
      <c r="AR25" s="40" t="s">
        <v>425</v>
      </c>
    </row>
    <row r="26" spans="1:44">
      <c r="A26" s="38">
        <v>46098</v>
      </c>
      <c r="B26" s="39" t="s">
        <v>430</v>
      </c>
      <c r="C26" s="40" t="s">
        <v>425</v>
      </c>
      <c r="D26" s="40" t="s">
        <v>198</v>
      </c>
      <c r="E26" s="40" t="s">
        <v>198</v>
      </c>
      <c r="F26" s="40" t="s">
        <v>425</v>
      </c>
      <c r="G26" s="40" t="s">
        <v>425</v>
      </c>
      <c r="H26" s="40" t="s">
        <v>425</v>
      </c>
      <c r="I26" s="40" t="s">
        <v>425</v>
      </c>
      <c r="J26" s="40" t="s">
        <v>425</v>
      </c>
      <c r="K26" s="40" t="s">
        <v>425</v>
      </c>
      <c r="L26" s="40" t="s">
        <v>425</v>
      </c>
      <c r="M26" s="40" t="s">
        <v>425</v>
      </c>
      <c r="N26" s="40" t="s">
        <v>425</v>
      </c>
      <c r="O26" s="40" t="s">
        <v>425</v>
      </c>
      <c r="P26" s="40" t="s">
        <v>425</v>
      </c>
      <c r="Q26" s="40" t="s">
        <v>425</v>
      </c>
      <c r="R26" s="40" t="s">
        <v>425</v>
      </c>
      <c r="S26" s="40" t="s">
        <v>198</v>
      </c>
      <c r="T26" s="40" t="s">
        <v>425</v>
      </c>
      <c r="U26" s="40" t="s">
        <v>425</v>
      </c>
      <c r="V26" s="40" t="s">
        <v>425</v>
      </c>
      <c r="W26" s="40" t="s">
        <v>425</v>
      </c>
      <c r="X26" s="40" t="s">
        <v>425</v>
      </c>
      <c r="Y26" s="40" t="s">
        <v>425</v>
      </c>
      <c r="Z26" s="40" t="s">
        <v>425</v>
      </c>
      <c r="AA26" s="40" t="s">
        <v>425</v>
      </c>
      <c r="AB26" s="40" t="s">
        <v>425</v>
      </c>
      <c r="AC26" s="40" t="s">
        <v>425</v>
      </c>
      <c r="AD26" s="40" t="s">
        <v>425</v>
      </c>
      <c r="AE26" s="40" t="s">
        <v>425</v>
      </c>
      <c r="AF26" s="40" t="s">
        <v>425</v>
      </c>
      <c r="AG26" s="40" t="s">
        <v>425</v>
      </c>
      <c r="AH26" s="40" t="s">
        <v>425</v>
      </c>
      <c r="AI26" s="40" t="s">
        <v>425</v>
      </c>
      <c r="AJ26" s="40" t="s">
        <v>425</v>
      </c>
      <c r="AK26" s="40" t="s">
        <v>425</v>
      </c>
      <c r="AL26" s="40" t="s">
        <v>425</v>
      </c>
      <c r="AM26" s="40" t="s">
        <v>425</v>
      </c>
      <c r="AN26" s="40" t="s">
        <v>425</v>
      </c>
      <c r="AO26" s="40" t="s">
        <v>425</v>
      </c>
      <c r="AP26" s="40" t="s">
        <v>425</v>
      </c>
      <c r="AQ26" s="40" t="s">
        <v>425</v>
      </c>
      <c r="AR26" s="40" t="s">
        <v>425</v>
      </c>
    </row>
    <row r="27" spans="1:44">
      <c r="A27" s="38">
        <v>46099</v>
      </c>
      <c r="B27" s="39" t="s">
        <v>431</v>
      </c>
      <c r="C27" s="40" t="s">
        <v>425</v>
      </c>
      <c r="D27" s="40" t="s">
        <v>198</v>
      </c>
      <c r="E27" s="40" t="s">
        <v>198</v>
      </c>
      <c r="F27" s="40" t="s">
        <v>425</v>
      </c>
      <c r="G27" s="40" t="s">
        <v>425</v>
      </c>
      <c r="H27" s="40" t="s">
        <v>425</v>
      </c>
      <c r="I27" s="40" t="s">
        <v>425</v>
      </c>
      <c r="J27" s="40" t="s">
        <v>425</v>
      </c>
      <c r="K27" s="40" t="s">
        <v>425</v>
      </c>
      <c r="L27" s="40" t="s">
        <v>425</v>
      </c>
      <c r="M27" s="40" t="s">
        <v>425</v>
      </c>
      <c r="N27" s="40" t="s">
        <v>425</v>
      </c>
      <c r="O27" s="40" t="s">
        <v>425</v>
      </c>
      <c r="P27" s="40" t="s">
        <v>425</v>
      </c>
      <c r="Q27" s="40" t="s">
        <v>425</v>
      </c>
      <c r="R27" s="40" t="s">
        <v>425</v>
      </c>
      <c r="S27" s="40" t="s">
        <v>198</v>
      </c>
      <c r="T27" s="40" t="s">
        <v>425</v>
      </c>
      <c r="U27" s="40" t="s">
        <v>425</v>
      </c>
      <c r="V27" s="40" t="s">
        <v>425</v>
      </c>
      <c r="W27" s="40" t="s">
        <v>425</v>
      </c>
      <c r="X27" s="40" t="s">
        <v>425</v>
      </c>
      <c r="Y27" s="40" t="s">
        <v>425</v>
      </c>
      <c r="Z27" s="40" t="s">
        <v>425</v>
      </c>
      <c r="AA27" s="40" t="s">
        <v>425</v>
      </c>
      <c r="AB27" s="40" t="s">
        <v>425</v>
      </c>
      <c r="AC27" s="40" t="s">
        <v>425</v>
      </c>
      <c r="AD27" s="40" t="s">
        <v>425</v>
      </c>
      <c r="AE27" s="40" t="s">
        <v>425</v>
      </c>
      <c r="AF27" s="40" t="s">
        <v>425</v>
      </c>
      <c r="AG27" s="40" t="s">
        <v>425</v>
      </c>
      <c r="AH27" s="40" t="s">
        <v>425</v>
      </c>
      <c r="AI27" s="40" t="s">
        <v>425</v>
      </c>
      <c r="AJ27" s="40" t="s">
        <v>425</v>
      </c>
      <c r="AK27" s="40" t="s">
        <v>425</v>
      </c>
      <c r="AL27" s="40" t="s">
        <v>425</v>
      </c>
      <c r="AM27" s="40" t="s">
        <v>425</v>
      </c>
      <c r="AN27" s="40" t="s">
        <v>425</v>
      </c>
      <c r="AO27" s="40" t="s">
        <v>425</v>
      </c>
      <c r="AP27" s="40" t="s">
        <v>425</v>
      </c>
      <c r="AQ27" s="40" t="s">
        <v>425</v>
      </c>
      <c r="AR27" s="40" t="s">
        <v>425</v>
      </c>
    </row>
    <row r="28" spans="1:44">
      <c r="A28" s="38">
        <v>46100</v>
      </c>
      <c r="B28" s="39" t="s">
        <v>432</v>
      </c>
      <c r="C28" s="40" t="s">
        <v>425</v>
      </c>
      <c r="D28" s="40" t="s">
        <v>198</v>
      </c>
      <c r="E28" s="40" t="s">
        <v>198</v>
      </c>
      <c r="F28" s="40" t="s">
        <v>425</v>
      </c>
      <c r="G28" s="40" t="s">
        <v>425</v>
      </c>
      <c r="H28" s="40" t="s">
        <v>425</v>
      </c>
      <c r="I28" s="40" t="s">
        <v>425</v>
      </c>
      <c r="J28" s="40" t="s">
        <v>425</v>
      </c>
      <c r="K28" s="40" t="s">
        <v>425</v>
      </c>
      <c r="L28" s="40" t="s">
        <v>425</v>
      </c>
      <c r="M28" s="40" t="s">
        <v>425</v>
      </c>
      <c r="N28" s="40" t="s">
        <v>425</v>
      </c>
      <c r="O28" s="40" t="s">
        <v>425</v>
      </c>
      <c r="P28" s="40" t="s">
        <v>425</v>
      </c>
      <c r="Q28" s="40" t="s">
        <v>425</v>
      </c>
      <c r="R28" s="40" t="s">
        <v>425</v>
      </c>
      <c r="S28" s="40" t="s">
        <v>198</v>
      </c>
      <c r="T28" s="40" t="s">
        <v>425</v>
      </c>
      <c r="U28" s="40" t="s">
        <v>425</v>
      </c>
      <c r="V28" s="40" t="s">
        <v>425</v>
      </c>
      <c r="W28" s="40" t="s">
        <v>425</v>
      </c>
      <c r="X28" s="40" t="s">
        <v>425</v>
      </c>
      <c r="Y28" s="40" t="s">
        <v>425</v>
      </c>
      <c r="Z28" s="40" t="s">
        <v>425</v>
      </c>
      <c r="AA28" s="40" t="s">
        <v>425</v>
      </c>
      <c r="AB28" s="40" t="s">
        <v>425</v>
      </c>
      <c r="AC28" s="40" t="s">
        <v>425</v>
      </c>
      <c r="AD28" s="40" t="s">
        <v>425</v>
      </c>
      <c r="AE28" s="40" t="s">
        <v>425</v>
      </c>
      <c r="AF28" s="40" t="s">
        <v>425</v>
      </c>
      <c r="AG28" s="40" t="s">
        <v>425</v>
      </c>
      <c r="AH28" s="40" t="s">
        <v>425</v>
      </c>
      <c r="AI28" s="40" t="s">
        <v>425</v>
      </c>
      <c r="AJ28" s="40" t="s">
        <v>425</v>
      </c>
      <c r="AK28" s="40" t="s">
        <v>425</v>
      </c>
      <c r="AL28" s="40" t="s">
        <v>425</v>
      </c>
      <c r="AM28" s="40" t="s">
        <v>425</v>
      </c>
      <c r="AN28" s="40" t="s">
        <v>425</v>
      </c>
      <c r="AO28" s="40" t="s">
        <v>425</v>
      </c>
      <c r="AP28" s="40" t="s">
        <v>425</v>
      </c>
      <c r="AQ28" s="40" t="s">
        <v>425</v>
      </c>
      <c r="AR28" s="40" t="s">
        <v>425</v>
      </c>
    </row>
    <row r="29" spans="1:44">
      <c r="A29" s="38">
        <v>46101</v>
      </c>
      <c r="B29" s="39" t="s">
        <v>433</v>
      </c>
      <c r="C29" s="40" t="s">
        <v>425</v>
      </c>
      <c r="D29" s="40" t="s">
        <v>198</v>
      </c>
      <c r="E29" s="40" t="s">
        <v>198</v>
      </c>
      <c r="F29" s="40" t="s">
        <v>425</v>
      </c>
      <c r="G29" s="40" t="s">
        <v>425</v>
      </c>
      <c r="H29" s="40" t="s">
        <v>425</v>
      </c>
      <c r="I29" s="40" t="s">
        <v>425</v>
      </c>
      <c r="J29" s="40" t="s">
        <v>425</v>
      </c>
      <c r="K29" s="40" t="s">
        <v>425</v>
      </c>
      <c r="L29" s="40" t="s">
        <v>425</v>
      </c>
      <c r="M29" s="40" t="s">
        <v>425</v>
      </c>
      <c r="N29" s="40" t="s">
        <v>425</v>
      </c>
      <c r="O29" s="40" t="s">
        <v>425</v>
      </c>
      <c r="P29" s="40" t="s">
        <v>425</v>
      </c>
      <c r="Q29" s="40" t="s">
        <v>425</v>
      </c>
      <c r="R29" s="40" t="s">
        <v>425</v>
      </c>
      <c r="S29" s="40" t="s">
        <v>198</v>
      </c>
      <c r="T29" s="40" t="s">
        <v>425</v>
      </c>
      <c r="U29" s="40" t="s">
        <v>425</v>
      </c>
      <c r="V29" s="40" t="s">
        <v>425</v>
      </c>
      <c r="W29" s="40" t="s">
        <v>425</v>
      </c>
      <c r="X29" s="40" t="s">
        <v>425</v>
      </c>
      <c r="Y29" s="40" t="s">
        <v>425</v>
      </c>
      <c r="Z29" s="40" t="s">
        <v>425</v>
      </c>
      <c r="AA29" s="40" t="s">
        <v>425</v>
      </c>
      <c r="AB29" s="40" t="s">
        <v>425</v>
      </c>
      <c r="AC29" s="40" t="s">
        <v>425</v>
      </c>
      <c r="AD29" s="40" t="s">
        <v>425</v>
      </c>
      <c r="AE29" s="40" t="s">
        <v>425</v>
      </c>
      <c r="AF29" s="40" t="s">
        <v>425</v>
      </c>
      <c r="AG29" s="40" t="s">
        <v>425</v>
      </c>
      <c r="AH29" s="40" t="s">
        <v>425</v>
      </c>
      <c r="AI29" s="40" t="s">
        <v>425</v>
      </c>
      <c r="AJ29" s="40" t="s">
        <v>425</v>
      </c>
      <c r="AK29" s="40" t="s">
        <v>425</v>
      </c>
      <c r="AL29" s="40" t="s">
        <v>425</v>
      </c>
      <c r="AM29" s="40" t="s">
        <v>425</v>
      </c>
      <c r="AN29" s="40" t="s">
        <v>425</v>
      </c>
      <c r="AO29" s="40" t="s">
        <v>425</v>
      </c>
      <c r="AP29" s="40" t="s">
        <v>425</v>
      </c>
      <c r="AQ29" s="40" t="s">
        <v>425</v>
      </c>
      <c r="AR29" s="40" t="s">
        <v>425</v>
      </c>
    </row>
    <row r="30" spans="1:44">
      <c r="A30" s="38">
        <v>46104</v>
      </c>
      <c r="B30" s="39" t="s">
        <v>429</v>
      </c>
      <c r="C30" s="40" t="s">
        <v>425</v>
      </c>
      <c r="D30" s="40" t="s">
        <v>198</v>
      </c>
      <c r="E30" s="40" t="s">
        <v>198</v>
      </c>
      <c r="F30" s="40" t="s">
        <v>425</v>
      </c>
      <c r="G30" s="40" t="s">
        <v>425</v>
      </c>
      <c r="H30" s="40" t="s">
        <v>425</v>
      </c>
      <c r="I30" s="40" t="s">
        <v>425</v>
      </c>
      <c r="J30" s="40" t="s">
        <v>425</v>
      </c>
      <c r="K30" s="40" t="s">
        <v>425</v>
      </c>
      <c r="L30" s="40" t="s">
        <v>425</v>
      </c>
      <c r="M30" s="40" t="s">
        <v>425</v>
      </c>
      <c r="N30" s="40" t="s">
        <v>425</v>
      </c>
      <c r="O30" s="40" t="s">
        <v>425</v>
      </c>
      <c r="P30" s="40" t="s">
        <v>425</v>
      </c>
      <c r="Q30" s="40" t="s">
        <v>425</v>
      </c>
      <c r="R30" s="40" t="s">
        <v>425</v>
      </c>
      <c r="S30" s="40" t="s">
        <v>198</v>
      </c>
      <c r="T30" s="40" t="s">
        <v>425</v>
      </c>
      <c r="U30" s="40" t="s">
        <v>425</v>
      </c>
      <c r="V30" s="40" t="s">
        <v>425</v>
      </c>
      <c r="W30" s="40" t="s">
        <v>425</v>
      </c>
      <c r="X30" s="40" t="s">
        <v>425</v>
      </c>
      <c r="Y30" s="40" t="s">
        <v>425</v>
      </c>
      <c r="Z30" s="40" t="s">
        <v>425</v>
      </c>
      <c r="AA30" s="40" t="s">
        <v>425</v>
      </c>
      <c r="AB30" s="40" t="s">
        <v>425</v>
      </c>
      <c r="AC30" s="40" t="s">
        <v>425</v>
      </c>
      <c r="AD30" s="40" t="s">
        <v>425</v>
      </c>
      <c r="AE30" s="40" t="s">
        <v>425</v>
      </c>
      <c r="AF30" s="40" t="s">
        <v>425</v>
      </c>
      <c r="AG30" s="40" t="s">
        <v>425</v>
      </c>
      <c r="AH30" s="40" t="s">
        <v>425</v>
      </c>
      <c r="AI30" s="40" t="s">
        <v>425</v>
      </c>
      <c r="AJ30" s="40" t="s">
        <v>425</v>
      </c>
      <c r="AK30" s="40" t="s">
        <v>425</v>
      </c>
      <c r="AL30" s="40" t="s">
        <v>425</v>
      </c>
      <c r="AM30" s="40" t="s">
        <v>425</v>
      </c>
      <c r="AN30" s="40" t="s">
        <v>425</v>
      </c>
      <c r="AO30" s="40" t="s">
        <v>425</v>
      </c>
      <c r="AP30" s="40" t="s">
        <v>425</v>
      </c>
      <c r="AQ30" s="40" t="s">
        <v>425</v>
      </c>
      <c r="AR30" s="40" t="s">
        <v>425</v>
      </c>
    </row>
    <row r="31" spans="1:44">
      <c r="A31" s="38">
        <v>46105</v>
      </c>
      <c r="B31" s="39" t="s">
        <v>430</v>
      </c>
      <c r="C31" s="40" t="s">
        <v>425</v>
      </c>
      <c r="D31" s="40" t="s">
        <v>198</v>
      </c>
      <c r="E31" s="40" t="s">
        <v>198</v>
      </c>
      <c r="F31" s="40" t="s">
        <v>425</v>
      </c>
      <c r="G31" s="40" t="s">
        <v>425</v>
      </c>
      <c r="H31" s="40" t="s">
        <v>425</v>
      </c>
      <c r="I31" s="40" t="s">
        <v>425</v>
      </c>
      <c r="J31" s="40" t="s">
        <v>425</v>
      </c>
      <c r="K31" s="40" t="s">
        <v>425</v>
      </c>
      <c r="L31" s="40" t="s">
        <v>425</v>
      </c>
      <c r="M31" s="40" t="s">
        <v>425</v>
      </c>
      <c r="N31" s="40" t="s">
        <v>425</v>
      </c>
      <c r="O31" s="40" t="s">
        <v>425</v>
      </c>
      <c r="P31" s="40" t="s">
        <v>425</v>
      </c>
      <c r="Q31" s="40" t="s">
        <v>425</v>
      </c>
      <c r="R31" s="40" t="s">
        <v>425</v>
      </c>
      <c r="S31" s="40" t="s">
        <v>198</v>
      </c>
      <c r="T31" s="40" t="s">
        <v>425</v>
      </c>
      <c r="U31" s="40" t="s">
        <v>425</v>
      </c>
      <c r="V31" s="40" t="s">
        <v>425</v>
      </c>
      <c r="W31" s="40" t="s">
        <v>425</v>
      </c>
      <c r="X31" s="40" t="s">
        <v>425</v>
      </c>
      <c r="Y31" s="40" t="s">
        <v>425</v>
      </c>
      <c r="Z31" s="40" t="s">
        <v>425</v>
      </c>
      <c r="AA31" s="40" t="s">
        <v>425</v>
      </c>
      <c r="AB31" s="40" t="s">
        <v>425</v>
      </c>
      <c r="AC31" s="40" t="s">
        <v>425</v>
      </c>
      <c r="AD31" s="40" t="s">
        <v>425</v>
      </c>
      <c r="AE31" s="40" t="s">
        <v>425</v>
      </c>
      <c r="AF31" s="40" t="s">
        <v>425</v>
      </c>
      <c r="AG31" s="40" t="s">
        <v>425</v>
      </c>
      <c r="AH31" s="40" t="s">
        <v>425</v>
      </c>
      <c r="AI31" s="40" t="s">
        <v>425</v>
      </c>
      <c r="AJ31" s="40" t="s">
        <v>425</v>
      </c>
      <c r="AK31" s="40" t="s">
        <v>425</v>
      </c>
      <c r="AL31" s="40" t="s">
        <v>425</v>
      </c>
      <c r="AM31" s="40" t="s">
        <v>425</v>
      </c>
      <c r="AN31" s="40" t="s">
        <v>425</v>
      </c>
      <c r="AO31" s="40" t="s">
        <v>425</v>
      </c>
      <c r="AP31" s="40" t="s">
        <v>425</v>
      </c>
      <c r="AQ31" s="40" t="s">
        <v>198</v>
      </c>
      <c r="AR31" s="40" t="s">
        <v>425</v>
      </c>
    </row>
    <row r="32" spans="1:44">
      <c r="A32" s="38">
        <v>46106</v>
      </c>
      <c r="B32" s="39" t="s">
        <v>431</v>
      </c>
      <c r="C32" s="40" t="s">
        <v>425</v>
      </c>
      <c r="D32" s="40" t="s">
        <v>198</v>
      </c>
      <c r="E32" s="40" t="s">
        <v>198</v>
      </c>
      <c r="F32" s="40" t="s">
        <v>425</v>
      </c>
      <c r="G32" s="40" t="s">
        <v>198</v>
      </c>
      <c r="H32" s="40" t="s">
        <v>425</v>
      </c>
      <c r="I32" s="40" t="s">
        <v>425</v>
      </c>
      <c r="J32" s="40" t="s">
        <v>425</v>
      </c>
      <c r="K32" s="40" t="s">
        <v>425</v>
      </c>
      <c r="L32" s="40" t="s">
        <v>425</v>
      </c>
      <c r="M32" s="40" t="s">
        <v>425</v>
      </c>
      <c r="N32" s="40" t="s">
        <v>425</v>
      </c>
      <c r="O32" s="40" t="s">
        <v>425</v>
      </c>
      <c r="P32" s="40" t="s">
        <v>425</v>
      </c>
      <c r="Q32" s="40" t="s">
        <v>425</v>
      </c>
      <c r="R32" s="40" t="s">
        <v>425</v>
      </c>
      <c r="S32" s="40" t="s">
        <v>198</v>
      </c>
      <c r="T32" s="40" t="s">
        <v>425</v>
      </c>
      <c r="U32" s="40" t="s">
        <v>425</v>
      </c>
      <c r="V32" s="40" t="s">
        <v>425</v>
      </c>
      <c r="W32" s="40" t="s">
        <v>425</v>
      </c>
      <c r="X32" s="40" t="s">
        <v>425</v>
      </c>
      <c r="Y32" s="40" t="s">
        <v>425</v>
      </c>
      <c r="Z32" s="40" t="s">
        <v>425</v>
      </c>
      <c r="AA32" s="40" t="s">
        <v>198</v>
      </c>
      <c r="AB32" s="40" t="s">
        <v>425</v>
      </c>
      <c r="AC32" s="40" t="s">
        <v>425</v>
      </c>
      <c r="AD32" s="40" t="s">
        <v>425</v>
      </c>
      <c r="AE32" s="40" t="s">
        <v>425</v>
      </c>
      <c r="AF32" s="40" t="s">
        <v>425</v>
      </c>
      <c r="AG32" s="40" t="s">
        <v>425</v>
      </c>
      <c r="AH32" s="40" t="s">
        <v>425</v>
      </c>
      <c r="AI32" s="40" t="s">
        <v>425</v>
      </c>
      <c r="AJ32" s="40" t="s">
        <v>425</v>
      </c>
      <c r="AK32" s="40" t="s">
        <v>425</v>
      </c>
      <c r="AL32" s="40" t="s">
        <v>425</v>
      </c>
      <c r="AM32" s="40" t="s">
        <v>425</v>
      </c>
      <c r="AN32" s="40" t="s">
        <v>425</v>
      </c>
      <c r="AO32" s="40" t="s">
        <v>425</v>
      </c>
      <c r="AP32" s="40" t="s">
        <v>425</v>
      </c>
      <c r="AQ32" s="40" t="s">
        <v>198</v>
      </c>
      <c r="AR32" s="40" t="s">
        <v>425</v>
      </c>
    </row>
    <row r="33" spans="1:44">
      <c r="A33" s="38">
        <v>46107</v>
      </c>
      <c r="B33" s="39" t="s">
        <v>432</v>
      </c>
      <c r="C33" s="40" t="s">
        <v>425</v>
      </c>
      <c r="D33" s="40" t="s">
        <v>198</v>
      </c>
      <c r="E33" s="40"/>
      <c r="F33" s="40"/>
      <c r="G33" s="40" t="s">
        <v>198</v>
      </c>
      <c r="H33" s="40"/>
      <c r="I33" s="40" t="s">
        <v>425</v>
      </c>
      <c r="J33" s="40" t="s">
        <v>425</v>
      </c>
      <c r="K33" s="40"/>
      <c r="L33" s="40"/>
      <c r="M33" s="40" t="s">
        <v>425</v>
      </c>
      <c r="N33" s="40" t="s">
        <v>425</v>
      </c>
      <c r="O33" s="40"/>
      <c r="P33" s="40"/>
      <c r="Q33" s="40"/>
      <c r="R33" s="40" t="s">
        <v>425</v>
      </c>
      <c r="S33" s="40" t="s">
        <v>198</v>
      </c>
      <c r="T33" s="40" t="s">
        <v>425</v>
      </c>
      <c r="U33" s="40" t="s">
        <v>425</v>
      </c>
      <c r="V33" s="40" t="s">
        <v>425</v>
      </c>
      <c r="W33" s="40" t="s">
        <v>425</v>
      </c>
      <c r="X33" s="40" t="s">
        <v>425</v>
      </c>
      <c r="Y33" s="40" t="s">
        <v>425</v>
      </c>
      <c r="Z33" s="40" t="s">
        <v>425</v>
      </c>
      <c r="AA33" s="40" t="s">
        <v>198</v>
      </c>
      <c r="AB33" s="40"/>
      <c r="AC33" s="40"/>
      <c r="AD33" s="40" t="s">
        <v>425</v>
      </c>
      <c r="AE33" s="40"/>
      <c r="AF33" s="40" t="s">
        <v>425</v>
      </c>
      <c r="AG33" s="40" t="s">
        <v>425</v>
      </c>
      <c r="AH33" s="40" t="s">
        <v>425</v>
      </c>
      <c r="AI33" s="40" t="s">
        <v>425</v>
      </c>
      <c r="AJ33" s="40" t="s">
        <v>425</v>
      </c>
      <c r="AK33" s="40" t="s">
        <v>425</v>
      </c>
      <c r="AL33" s="40" t="s">
        <v>425</v>
      </c>
      <c r="AM33" s="40" t="s">
        <v>425</v>
      </c>
      <c r="AN33" s="40" t="s">
        <v>425</v>
      </c>
      <c r="AO33" s="40"/>
      <c r="AP33" s="40" t="s">
        <v>425</v>
      </c>
      <c r="AQ33" s="40" t="s">
        <v>198</v>
      </c>
      <c r="AR33" s="40" t="s">
        <v>425</v>
      </c>
    </row>
    <row r="34" spans="1:44">
      <c r="A34" s="38">
        <v>46108</v>
      </c>
      <c r="B34" s="39" t="s">
        <v>433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1:44">
      <c r="A35" s="38">
        <v>46111</v>
      </c>
      <c r="B35" s="39" t="s">
        <v>429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1:44">
      <c r="A36" s="38">
        <v>46112</v>
      </c>
      <c r="B36" s="39" t="s">
        <v>430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1:44">
      <c r="A37" s="38">
        <v>46113</v>
      </c>
      <c r="B37" s="39" t="s">
        <v>431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</row>
    <row r="38" spans="1:44">
      <c r="A38" s="38">
        <v>46114</v>
      </c>
      <c r="B38" s="39" t="s">
        <v>432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1:44">
      <c r="A39" s="38">
        <v>46115</v>
      </c>
      <c r="B39" s="39" t="s">
        <v>433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1:44">
      <c r="A40" s="38">
        <v>46118</v>
      </c>
      <c r="B40" s="39" t="s">
        <v>429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1:44">
      <c r="A41" s="38">
        <v>46119</v>
      </c>
      <c r="B41" s="39" t="s">
        <v>430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1:44">
      <c r="A42" s="38">
        <v>46120</v>
      </c>
      <c r="B42" s="39" t="s">
        <v>431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1:44">
      <c r="A43" s="38">
        <v>46121</v>
      </c>
      <c r="B43" s="39" t="s">
        <v>432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</row>
    <row r="44" spans="1:44">
      <c r="A44" s="38">
        <v>46122</v>
      </c>
      <c r="B44" s="39" t="s">
        <v>433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1:44">
      <c r="A45" s="38">
        <v>46125</v>
      </c>
      <c r="B45" s="39" t="s">
        <v>429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1:44">
      <c r="A46" s="38">
        <v>46126</v>
      </c>
      <c r="B46" s="39" t="s">
        <v>430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</row>
    <row r="47" spans="1:44">
      <c r="A47" s="38">
        <v>46127</v>
      </c>
      <c r="B47" s="39" t="s">
        <v>431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</row>
    <row r="48" spans="1:44">
      <c r="A48" s="38">
        <v>46128</v>
      </c>
      <c r="B48" s="39" t="s">
        <v>432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</row>
    <row r="49" spans="1:44">
      <c r="A49" s="38">
        <v>46129</v>
      </c>
      <c r="B49" s="39" t="s">
        <v>433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</row>
    <row r="50" spans="1:44">
      <c r="A50" s="38">
        <v>46132</v>
      </c>
      <c r="B50" s="39" t="s">
        <v>429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</row>
    <row r="51" spans="1:44">
      <c r="A51" s="38">
        <v>46133</v>
      </c>
      <c r="B51" s="39" t="s">
        <v>430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</row>
    <row r="52" spans="1:44">
      <c r="A52" s="38">
        <v>46134</v>
      </c>
      <c r="B52" s="39" t="s">
        <v>431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</row>
    <row r="53" spans="1:44">
      <c r="A53" s="38">
        <v>46135</v>
      </c>
      <c r="B53" s="39" t="s">
        <v>432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</row>
    <row r="54" spans="1:44">
      <c r="A54" s="38">
        <v>46136</v>
      </c>
      <c r="B54" s="39" t="s">
        <v>433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</row>
    <row r="55" spans="1:44">
      <c r="A55" s="38">
        <v>46139</v>
      </c>
      <c r="B55" s="39" t="s">
        <v>429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</row>
    <row r="56" spans="1:44">
      <c r="A56" s="38">
        <v>46140</v>
      </c>
      <c r="B56" s="39" t="s">
        <v>430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</row>
    <row r="57" spans="1:44">
      <c r="A57" s="38">
        <v>46141</v>
      </c>
      <c r="B57" s="39" t="s">
        <v>431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</row>
    <row r="58" spans="1:44">
      <c r="A58" s="38">
        <v>46142</v>
      </c>
      <c r="B58" s="39" t="s">
        <v>432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</row>
    <row r="59" spans="1:44">
      <c r="A59" s="38">
        <v>46143</v>
      </c>
      <c r="B59" s="39" t="s">
        <v>433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</row>
    <row r="60" spans="1:44">
      <c r="A60" s="38">
        <v>46146</v>
      </c>
      <c r="B60" s="39" t="s">
        <v>429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</row>
    <row r="61" spans="1:44">
      <c r="A61" s="38">
        <v>46147</v>
      </c>
      <c r="B61" s="39" t="s">
        <v>430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</row>
    <row r="62" spans="1:44">
      <c r="A62" s="38">
        <v>46148</v>
      </c>
      <c r="B62" s="39" t="s">
        <v>431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</row>
    <row r="63" spans="1:44">
      <c r="A63" s="38">
        <v>46149</v>
      </c>
      <c r="B63" s="39" t="s">
        <v>432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</row>
    <row r="64" spans="1:44">
      <c r="A64" s="38">
        <v>46150</v>
      </c>
      <c r="B64" s="39" t="s">
        <v>433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</row>
    <row r="65" spans="1:44">
      <c r="A65" s="38">
        <v>46153</v>
      </c>
      <c r="B65" s="39" t="s">
        <v>429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</row>
    <row r="66" spans="1:44">
      <c r="A66" s="38">
        <v>46154</v>
      </c>
      <c r="B66" s="39" t="s">
        <v>430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</row>
    <row r="67" spans="1:44">
      <c r="A67" s="38">
        <v>46155</v>
      </c>
      <c r="B67" s="39" t="s">
        <v>431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</row>
    <row r="68" spans="1:44">
      <c r="A68" s="38">
        <v>46156</v>
      </c>
      <c r="B68" s="39" t="s">
        <v>432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</row>
    <row r="69" spans="1:44">
      <c r="A69" s="38">
        <v>46157</v>
      </c>
      <c r="B69" s="39" t="s">
        <v>433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</row>
    <row r="70" spans="1:44">
      <c r="A70" s="38">
        <v>46160</v>
      </c>
      <c r="B70" s="39" t="s">
        <v>429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</row>
    <row r="71" spans="1:44">
      <c r="A71" s="38">
        <v>46161</v>
      </c>
      <c r="B71" s="39" t="s">
        <v>430</v>
      </c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</row>
    <row r="72" spans="1:44">
      <c r="A72" s="38">
        <v>46162</v>
      </c>
      <c r="B72" s="39" t="s">
        <v>431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</row>
    <row r="73" spans="1:44">
      <c r="A73" s="38">
        <v>46163</v>
      </c>
      <c r="B73" s="39" t="s">
        <v>432</v>
      </c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</row>
    <row r="74" spans="1:44">
      <c r="A74" s="38">
        <v>46164</v>
      </c>
      <c r="B74" s="39" t="s">
        <v>433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</row>
    <row r="75" spans="1:44">
      <c r="A75" s="38">
        <v>46167</v>
      </c>
      <c r="B75" s="39" t="s">
        <v>429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</row>
    <row r="76" spans="1:44">
      <c r="A76" s="38">
        <v>46168</v>
      </c>
      <c r="B76" s="39" t="s">
        <v>430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</row>
    <row r="77" spans="1:44">
      <c r="A77" s="38">
        <v>46169</v>
      </c>
      <c r="B77" s="39" t="s">
        <v>431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</row>
    <row r="78" spans="1:44">
      <c r="A78" s="38">
        <v>46170</v>
      </c>
      <c r="B78" s="39" t="s">
        <v>432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</row>
    <row r="79" spans="1:44">
      <c r="A79" s="38">
        <v>46171</v>
      </c>
      <c r="B79" s="39" t="s">
        <v>433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</row>
    <row r="80" spans="1:44">
      <c r="A80" s="38">
        <v>46174</v>
      </c>
      <c r="B80" s="39" t="s">
        <v>429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</row>
    <row r="81" spans="1:44">
      <c r="A81" s="38">
        <v>46175</v>
      </c>
      <c r="B81" s="39" t="s">
        <v>430</v>
      </c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</row>
    <row r="82" spans="1:44">
      <c r="A82" s="38">
        <v>46176</v>
      </c>
      <c r="B82" s="39" t="s">
        <v>431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</row>
    <row r="83" spans="1:44">
      <c r="A83" s="38">
        <v>46177</v>
      </c>
      <c r="B83" s="39" t="s">
        <v>432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</row>
    <row r="84" spans="1:44">
      <c r="A84" s="38">
        <v>46178</v>
      </c>
      <c r="B84" s="39" t="s">
        <v>433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</row>
    <row r="85" spans="1:44">
      <c r="A85" s="38">
        <v>46181</v>
      </c>
      <c r="B85" s="39" t="s">
        <v>429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</row>
    <row r="86" spans="1:44">
      <c r="A86" s="38">
        <v>46182</v>
      </c>
      <c r="B86" s="39" t="s">
        <v>430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</row>
    <row r="87" spans="1:44">
      <c r="A87" s="38">
        <v>46183</v>
      </c>
      <c r="B87" s="39" t="s">
        <v>431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</row>
    <row r="88" spans="1:44">
      <c r="A88" s="38">
        <v>46184</v>
      </c>
      <c r="B88" s="39" t="s">
        <v>432</v>
      </c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</row>
    <row r="89" spans="1:44">
      <c r="A89" s="38">
        <v>46185</v>
      </c>
      <c r="B89" s="39" t="s">
        <v>433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</row>
    <row r="90" spans="1:44">
      <c r="A90" s="38">
        <v>46188</v>
      </c>
      <c r="B90" s="39" t="s">
        <v>429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</row>
    <row r="91" spans="1:44">
      <c r="A91" s="38">
        <v>46189</v>
      </c>
      <c r="B91" s="39" t="s">
        <v>430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</row>
    <row r="92" spans="1:44">
      <c r="A92" s="38">
        <v>46190</v>
      </c>
      <c r="B92" s="39" t="s">
        <v>431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</row>
    <row r="93" spans="1:44">
      <c r="A93" s="38">
        <v>46191</v>
      </c>
      <c r="B93" s="39" t="s">
        <v>432</v>
      </c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</row>
    <row r="94" spans="1:44">
      <c r="A94" s="38">
        <v>46192</v>
      </c>
      <c r="B94" s="39" t="s">
        <v>433</v>
      </c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</row>
    <row r="95" spans="1:44">
      <c r="A95" s="38">
        <v>46195</v>
      </c>
      <c r="B95" s="39" t="s">
        <v>429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</row>
    <row r="96" spans="1:44">
      <c r="A96" s="38">
        <v>46196</v>
      </c>
      <c r="B96" s="39" t="s">
        <v>430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</row>
    <row r="97" spans="1:44">
      <c r="A97" s="38">
        <v>46197</v>
      </c>
      <c r="B97" s="39" t="s">
        <v>431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</row>
    <row r="98" spans="1:44">
      <c r="A98" s="38">
        <v>46198</v>
      </c>
      <c r="B98" s="39" t="s">
        <v>432</v>
      </c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</row>
    <row r="99" spans="1:44">
      <c r="A99" s="38">
        <v>46199</v>
      </c>
      <c r="B99" s="39" t="s">
        <v>433</v>
      </c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</row>
    <row r="100" spans="1:44">
      <c r="A100" s="38">
        <v>46202</v>
      </c>
      <c r="B100" s="39" t="s">
        <v>429</v>
      </c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</row>
    <row r="101" spans="1:44">
      <c r="A101" s="38">
        <v>46203</v>
      </c>
      <c r="B101" s="39" t="s">
        <v>430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</row>
    <row r="102" spans="1:44">
      <c r="A102" s="38">
        <v>46204</v>
      </c>
      <c r="B102" s="39" t="s">
        <v>431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</row>
    <row r="103" spans="1:44">
      <c r="A103" s="38">
        <v>46205</v>
      </c>
      <c r="B103" s="39" t="s">
        <v>432</v>
      </c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</row>
    <row r="104" spans="1:44">
      <c r="A104" s="38">
        <v>46206</v>
      </c>
      <c r="B104" s="39" t="s">
        <v>433</v>
      </c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</row>
    <row r="105" spans="1:44">
      <c r="A105" s="38">
        <v>46209</v>
      </c>
      <c r="B105" s="39" t="s">
        <v>429</v>
      </c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</row>
    <row r="106" spans="1:44">
      <c r="A106" s="38">
        <v>46210</v>
      </c>
      <c r="B106" s="39" t="s">
        <v>430</v>
      </c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</row>
    <row r="107" spans="1:44">
      <c r="A107" s="38">
        <v>46211</v>
      </c>
      <c r="B107" s="39" t="s">
        <v>431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</row>
    <row r="108" spans="1:44">
      <c r="A108" s="38">
        <v>46212</v>
      </c>
      <c r="B108" s="39" t="s">
        <v>432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</row>
    <row r="109" spans="1:44">
      <c r="A109" s="38">
        <v>46213</v>
      </c>
      <c r="B109" s="39" t="s">
        <v>433</v>
      </c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</row>
    <row r="110" spans="1:44">
      <c r="A110" s="38">
        <v>46216</v>
      </c>
      <c r="B110" s="39" t="s">
        <v>429</v>
      </c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</row>
    <row r="111" spans="1:44">
      <c r="A111" s="38">
        <v>46217</v>
      </c>
      <c r="B111" s="39" t="s">
        <v>430</v>
      </c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</row>
    <row r="112" spans="1:44">
      <c r="A112" s="38">
        <v>46218</v>
      </c>
      <c r="B112" s="39" t="s">
        <v>431</v>
      </c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</row>
    <row r="113" spans="1:44">
      <c r="A113" s="38">
        <v>46219</v>
      </c>
      <c r="B113" s="39" t="s">
        <v>432</v>
      </c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</row>
    <row r="114" spans="1:44">
      <c r="A114" s="38">
        <v>46220</v>
      </c>
      <c r="B114" s="39" t="s">
        <v>433</v>
      </c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</row>
    <row r="115" spans="1:44">
      <c r="A115" s="38">
        <v>46223</v>
      </c>
      <c r="B115" s="39" t="s">
        <v>429</v>
      </c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</row>
    <row r="116" spans="1:44">
      <c r="A116" s="38">
        <v>46224</v>
      </c>
      <c r="B116" s="39" t="s">
        <v>430</v>
      </c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</row>
    <row r="117" spans="1:44">
      <c r="A117" s="38">
        <v>46225</v>
      </c>
      <c r="B117" s="39" t="s">
        <v>431</v>
      </c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</row>
    <row r="118" spans="1:44">
      <c r="A118" s="38">
        <v>46226</v>
      </c>
      <c r="B118" s="39" t="s">
        <v>432</v>
      </c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</row>
    <row r="119" spans="1:44">
      <c r="A119" s="38">
        <v>46227</v>
      </c>
      <c r="B119" s="39" t="s">
        <v>433</v>
      </c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</row>
    <row r="120" spans="1:44">
      <c r="A120" s="38">
        <v>46230</v>
      </c>
      <c r="B120" s="39" t="s">
        <v>429</v>
      </c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</row>
    <row r="121" spans="1:44">
      <c r="A121" s="38">
        <v>46231</v>
      </c>
      <c r="B121" s="39" t="s">
        <v>430</v>
      </c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</row>
    <row r="122" spans="1:44">
      <c r="A122" s="38">
        <v>46232</v>
      </c>
      <c r="B122" s="39" t="s">
        <v>431</v>
      </c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</row>
    <row r="123" spans="1:44">
      <c r="A123" s="38">
        <v>46233</v>
      </c>
      <c r="B123" s="39" t="s">
        <v>432</v>
      </c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</row>
    <row r="124" spans="1:44">
      <c r="A124" s="38">
        <v>46234</v>
      </c>
      <c r="B124" s="39" t="s">
        <v>433</v>
      </c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</row>
    <row r="125" spans="1:44">
      <c r="A125" s="38">
        <v>46237</v>
      </c>
      <c r="B125" s="39" t="s">
        <v>429</v>
      </c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</row>
    <row r="126" spans="1:44">
      <c r="A126" s="38">
        <v>46238</v>
      </c>
      <c r="B126" s="39" t="s">
        <v>430</v>
      </c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</row>
    <row r="127" spans="1:44">
      <c r="A127" s="38">
        <v>46239</v>
      </c>
      <c r="B127" s="39" t="s">
        <v>431</v>
      </c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</row>
    <row r="128" spans="1:44">
      <c r="A128" s="38">
        <v>46240</v>
      </c>
      <c r="B128" s="39" t="s">
        <v>432</v>
      </c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</row>
    <row r="129" spans="1:44">
      <c r="A129" s="38">
        <v>46241</v>
      </c>
      <c r="B129" s="39" t="s">
        <v>433</v>
      </c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</row>
    <row r="130" spans="1:44">
      <c r="A130" s="38">
        <v>46244</v>
      </c>
      <c r="B130" s="39" t="s">
        <v>429</v>
      </c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</row>
    <row r="131" spans="1:44">
      <c r="A131" s="38">
        <v>46245</v>
      </c>
      <c r="B131" s="39" t="s">
        <v>430</v>
      </c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</row>
    <row r="132" spans="1:44">
      <c r="A132" s="38">
        <v>46246</v>
      </c>
      <c r="B132" s="39" t="s">
        <v>431</v>
      </c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</row>
    <row r="133" spans="1:44">
      <c r="A133" s="38">
        <v>46247</v>
      </c>
      <c r="B133" s="39" t="s">
        <v>432</v>
      </c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</row>
    <row r="134" spans="1:44">
      <c r="A134" s="38">
        <v>46248</v>
      </c>
      <c r="B134" s="39" t="s">
        <v>433</v>
      </c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</row>
    <row r="135" spans="1:44">
      <c r="A135" s="38">
        <v>46251</v>
      </c>
      <c r="B135" s="39" t="s">
        <v>429</v>
      </c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</row>
    <row r="136" spans="1:44">
      <c r="A136" s="38">
        <v>46252</v>
      </c>
      <c r="B136" s="39" t="s">
        <v>430</v>
      </c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</row>
    <row r="137" spans="1:44">
      <c r="A137" s="38">
        <v>46253</v>
      </c>
      <c r="B137" s="39" t="s">
        <v>431</v>
      </c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</row>
    <row r="138" spans="1:44">
      <c r="A138" s="38">
        <v>46254</v>
      </c>
      <c r="B138" s="39" t="s">
        <v>432</v>
      </c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</row>
    <row r="139" spans="1:44">
      <c r="A139" s="38">
        <v>46255</v>
      </c>
      <c r="B139" s="39" t="s">
        <v>433</v>
      </c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</row>
    <row r="140" spans="1:44">
      <c r="A140" s="38">
        <v>46258</v>
      </c>
      <c r="B140" s="39" t="s">
        <v>429</v>
      </c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</row>
    <row r="141" spans="1:44">
      <c r="A141" s="38">
        <v>46259</v>
      </c>
      <c r="B141" s="39" t="s">
        <v>430</v>
      </c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</row>
    <row r="142" spans="1:44">
      <c r="A142" s="38">
        <v>46260</v>
      </c>
      <c r="B142" s="39" t="s">
        <v>431</v>
      </c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</row>
    <row r="143" spans="1:44">
      <c r="A143" s="38">
        <v>46261</v>
      </c>
      <c r="B143" s="39" t="s">
        <v>432</v>
      </c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</row>
    <row r="144" spans="1:44">
      <c r="A144" s="38">
        <v>46262</v>
      </c>
      <c r="B144" s="39" t="s">
        <v>433</v>
      </c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</row>
    <row r="145" spans="1:44">
      <c r="A145" s="38">
        <v>46265</v>
      </c>
      <c r="B145" s="39" t="s">
        <v>429</v>
      </c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</row>
    <row r="146" spans="1:44">
      <c r="A146" s="38">
        <v>46266</v>
      </c>
      <c r="B146" s="39" t="s">
        <v>430</v>
      </c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</row>
    <row r="147" spans="1:44">
      <c r="A147" s="38">
        <v>46267</v>
      </c>
      <c r="B147" s="39" t="s">
        <v>431</v>
      </c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</row>
    <row r="148" spans="1:44">
      <c r="A148" s="38">
        <v>46268</v>
      </c>
      <c r="B148" s="39" t="s">
        <v>432</v>
      </c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</row>
    <row r="149" spans="1:44">
      <c r="A149" s="38">
        <v>46269</v>
      </c>
      <c r="B149" s="39" t="s">
        <v>433</v>
      </c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</row>
    <row r="150" spans="1:44">
      <c r="A150" s="38">
        <v>46272</v>
      </c>
      <c r="B150" s="39" t="s">
        <v>429</v>
      </c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</row>
    <row r="151" spans="1:44">
      <c r="A151" s="38">
        <v>46273</v>
      </c>
      <c r="B151" s="39" t="s">
        <v>430</v>
      </c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</row>
    <row r="152" spans="1:44">
      <c r="A152" s="38">
        <v>46274</v>
      </c>
      <c r="B152" s="39" t="s">
        <v>431</v>
      </c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</row>
    <row r="153" spans="1:44">
      <c r="A153" s="38">
        <v>46275</v>
      </c>
      <c r="B153" s="39" t="s">
        <v>432</v>
      </c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</row>
    <row r="154" spans="1:44">
      <c r="A154" s="38">
        <v>46276</v>
      </c>
      <c r="B154" s="39" t="s">
        <v>433</v>
      </c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</row>
    <row r="155" spans="1:44">
      <c r="A155" s="38">
        <v>46279</v>
      </c>
      <c r="B155" s="39" t="s">
        <v>429</v>
      </c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</row>
    <row r="156" spans="1:44">
      <c r="A156" s="38">
        <v>46280</v>
      </c>
      <c r="B156" s="39" t="s">
        <v>430</v>
      </c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</row>
    <row r="157" spans="1:44">
      <c r="A157" s="38">
        <v>46281</v>
      </c>
      <c r="B157" s="39" t="s">
        <v>431</v>
      </c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</row>
    <row r="158" spans="1:44">
      <c r="A158" s="38">
        <v>46282</v>
      </c>
      <c r="B158" s="39" t="s">
        <v>432</v>
      </c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</row>
    <row r="159" spans="1:44">
      <c r="A159" s="38">
        <v>46283</v>
      </c>
      <c r="B159" s="39" t="s">
        <v>433</v>
      </c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</row>
    <row r="160" spans="1:44">
      <c r="A160" s="38">
        <v>46286</v>
      </c>
      <c r="B160" s="39" t="s">
        <v>429</v>
      </c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</row>
    <row r="161" spans="1:44">
      <c r="A161" s="38">
        <v>46287</v>
      </c>
      <c r="B161" s="39" t="s">
        <v>430</v>
      </c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</row>
    <row r="162" spans="1:44">
      <c r="A162" s="38">
        <v>46288</v>
      </c>
      <c r="B162" s="39" t="s">
        <v>431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</row>
    <row r="163" spans="1:44">
      <c r="A163" s="38">
        <v>46289</v>
      </c>
      <c r="B163" s="39" t="s">
        <v>432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</row>
    <row r="164" spans="1:44">
      <c r="A164" s="38">
        <v>46290</v>
      </c>
      <c r="B164" s="39" t="s">
        <v>433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</row>
    <row r="165" spans="1:44">
      <c r="A165" s="38">
        <v>46293</v>
      </c>
      <c r="B165" s="39" t="s">
        <v>429</v>
      </c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</row>
    <row r="166" spans="1:44">
      <c r="A166" s="38">
        <v>46294</v>
      </c>
      <c r="B166" s="39" t="s">
        <v>430</v>
      </c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</row>
    <row r="167" spans="1:44">
      <c r="A167" s="38">
        <v>46295</v>
      </c>
      <c r="B167" s="39" t="s">
        <v>431</v>
      </c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</row>
    <row r="168" spans="1:44">
      <c r="A168" s="38">
        <v>46296</v>
      </c>
      <c r="B168" s="39" t="s">
        <v>432</v>
      </c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</row>
    <row r="169" spans="1:44">
      <c r="A169" s="38">
        <v>46297</v>
      </c>
      <c r="B169" s="39" t="s">
        <v>433</v>
      </c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</row>
    <row r="170" spans="1:44">
      <c r="A170" s="38">
        <v>46300</v>
      </c>
      <c r="B170" s="39" t="s">
        <v>429</v>
      </c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</row>
    <row r="171" spans="1:44">
      <c r="A171" s="38">
        <v>46301</v>
      </c>
      <c r="B171" s="39" t="s">
        <v>430</v>
      </c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</row>
    <row r="172" spans="1:44">
      <c r="A172" s="38">
        <v>46302</v>
      </c>
      <c r="B172" s="39" t="s">
        <v>431</v>
      </c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</row>
    <row r="173" spans="1:44">
      <c r="A173" s="38">
        <v>46303</v>
      </c>
      <c r="B173" s="39" t="s">
        <v>432</v>
      </c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</row>
    <row r="174" spans="1:44">
      <c r="A174" s="38">
        <v>46304</v>
      </c>
      <c r="B174" s="39" t="s">
        <v>433</v>
      </c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</row>
    <row r="175" spans="1:44">
      <c r="A175" s="38">
        <v>46307</v>
      </c>
      <c r="B175" s="39" t="s">
        <v>429</v>
      </c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</row>
    <row r="176" spans="1:44">
      <c r="A176" s="38">
        <v>46308</v>
      </c>
      <c r="B176" s="39" t="s">
        <v>430</v>
      </c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</row>
    <row r="177" spans="1:44">
      <c r="A177" s="38">
        <v>46309</v>
      </c>
      <c r="B177" s="39" t="s">
        <v>431</v>
      </c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</row>
    <row r="178" spans="1:44">
      <c r="A178" s="38">
        <v>46310</v>
      </c>
      <c r="B178" s="39" t="s">
        <v>432</v>
      </c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</row>
    <row r="179" spans="1:44">
      <c r="A179" s="38">
        <v>46311</v>
      </c>
      <c r="B179" s="39" t="s">
        <v>433</v>
      </c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</row>
    <row r="180" spans="1:44">
      <c r="A180" s="38">
        <v>46314</v>
      </c>
      <c r="B180" s="39" t="s">
        <v>429</v>
      </c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</row>
    <row r="181" spans="1:44">
      <c r="A181" s="38">
        <v>46315</v>
      </c>
      <c r="B181" s="39" t="s">
        <v>430</v>
      </c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</row>
    <row r="182" spans="1:44">
      <c r="A182" s="38">
        <v>46316</v>
      </c>
      <c r="B182" s="39" t="s">
        <v>431</v>
      </c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</row>
    <row r="183" spans="1:44">
      <c r="A183" s="38">
        <v>46317</v>
      </c>
      <c r="B183" s="39" t="s">
        <v>432</v>
      </c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</row>
    <row r="184" spans="1:44">
      <c r="A184" s="38">
        <v>46318</v>
      </c>
      <c r="B184" s="39" t="s">
        <v>433</v>
      </c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</row>
    <row r="185" spans="1:44">
      <c r="A185" s="38">
        <v>46321</v>
      </c>
      <c r="B185" s="39" t="s">
        <v>429</v>
      </c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</row>
    <row r="186" spans="1:44">
      <c r="A186" s="38">
        <v>46322</v>
      </c>
      <c r="B186" s="39" t="s">
        <v>430</v>
      </c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</row>
    <row r="187" spans="1:44">
      <c r="A187" s="38">
        <v>46323</v>
      </c>
      <c r="B187" s="39" t="s">
        <v>431</v>
      </c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</row>
    <row r="188" spans="1:44">
      <c r="A188" s="38">
        <v>46324</v>
      </c>
      <c r="B188" s="39" t="s">
        <v>432</v>
      </c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</row>
    <row r="189" spans="1:44">
      <c r="A189" s="38">
        <v>46325</v>
      </c>
      <c r="B189" s="39" t="s">
        <v>433</v>
      </c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</row>
    <row r="190" spans="1:44">
      <c r="A190" s="38">
        <v>46328</v>
      </c>
      <c r="B190" s="39" t="s">
        <v>429</v>
      </c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</row>
    <row r="191" spans="1:44">
      <c r="A191" s="38">
        <v>46329</v>
      </c>
      <c r="B191" s="39" t="s">
        <v>430</v>
      </c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</row>
    <row r="192" spans="1:44">
      <c r="A192" s="38">
        <v>46330</v>
      </c>
      <c r="B192" s="39" t="s">
        <v>431</v>
      </c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</row>
    <row r="193" spans="1:44">
      <c r="A193" s="38">
        <v>46331</v>
      </c>
      <c r="B193" s="39" t="s">
        <v>432</v>
      </c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</row>
    <row r="194" spans="1:44">
      <c r="A194" s="38">
        <v>46332</v>
      </c>
      <c r="B194" s="39" t="s">
        <v>433</v>
      </c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</row>
    <row r="195" spans="1:44">
      <c r="A195" s="38">
        <v>46335</v>
      </c>
      <c r="B195" s="39" t="s">
        <v>429</v>
      </c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</row>
    <row r="196" spans="1:44">
      <c r="A196" s="38">
        <v>46336</v>
      </c>
      <c r="B196" s="39" t="s">
        <v>430</v>
      </c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</row>
    <row r="197" spans="1:44">
      <c r="A197" s="38">
        <v>46337</v>
      </c>
      <c r="B197" s="39" t="s">
        <v>431</v>
      </c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</row>
    <row r="198" spans="1:44">
      <c r="A198" s="38">
        <v>46338</v>
      </c>
      <c r="B198" s="39" t="s">
        <v>432</v>
      </c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</row>
    <row r="199" spans="1:44">
      <c r="A199" s="38">
        <v>46339</v>
      </c>
      <c r="B199" s="39" t="s">
        <v>433</v>
      </c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</row>
    <row r="200" spans="1:44">
      <c r="A200" s="38">
        <v>46342</v>
      </c>
      <c r="B200" s="39" t="s">
        <v>429</v>
      </c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</row>
    <row r="201" spans="1:44">
      <c r="A201" s="38">
        <v>46343</v>
      </c>
      <c r="B201" s="39" t="s">
        <v>430</v>
      </c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</row>
    <row r="202" spans="1:44">
      <c r="A202" s="38">
        <v>46344</v>
      </c>
      <c r="B202" s="39" t="s">
        <v>431</v>
      </c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</row>
    <row r="203" spans="1:44">
      <c r="A203" s="38">
        <v>46345</v>
      </c>
      <c r="B203" s="39" t="s">
        <v>432</v>
      </c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</row>
    <row r="204" spans="1:44">
      <c r="A204" s="38">
        <v>46346</v>
      </c>
      <c r="B204" s="39" t="s">
        <v>433</v>
      </c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</row>
    <row r="205" spans="1:44">
      <c r="A205" s="38">
        <v>46349</v>
      </c>
      <c r="B205" s="39" t="s">
        <v>429</v>
      </c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</row>
    <row r="206" spans="1:44">
      <c r="A206" s="38">
        <v>46350</v>
      </c>
      <c r="B206" s="39" t="s">
        <v>430</v>
      </c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</row>
    <row r="207" spans="1:44">
      <c r="A207" s="38">
        <v>46351</v>
      </c>
      <c r="B207" s="39" t="s">
        <v>431</v>
      </c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</row>
    <row r="208" spans="1:44">
      <c r="A208" s="38">
        <v>46352</v>
      </c>
      <c r="B208" s="39" t="s">
        <v>432</v>
      </c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</row>
    <row r="209" spans="1:44">
      <c r="A209" s="38">
        <v>46353</v>
      </c>
      <c r="B209" s="39" t="s">
        <v>433</v>
      </c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</row>
    <row r="210" spans="1:44">
      <c r="A210" s="38">
        <v>46356</v>
      </c>
      <c r="B210" s="39" t="s">
        <v>429</v>
      </c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</row>
    <row r="211" spans="1:44">
      <c r="A211" s="38">
        <v>46357</v>
      </c>
      <c r="B211" s="39" t="s">
        <v>430</v>
      </c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</row>
    <row r="212" spans="1:44">
      <c r="A212" s="38">
        <v>46358</v>
      </c>
      <c r="B212" s="39" t="s">
        <v>431</v>
      </c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</row>
    <row r="213" spans="1:44">
      <c r="A213" s="38">
        <v>46359</v>
      </c>
      <c r="B213" s="39" t="s">
        <v>432</v>
      </c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</row>
    <row r="214" spans="1:44">
      <c r="A214" s="38">
        <v>46360</v>
      </c>
      <c r="B214" s="39" t="s">
        <v>433</v>
      </c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</row>
    <row r="215" spans="1:44">
      <c r="A215" s="38">
        <v>46363</v>
      </c>
      <c r="B215" s="39" t="s">
        <v>429</v>
      </c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</row>
    <row r="216" spans="1:44">
      <c r="A216" s="38">
        <v>46364</v>
      </c>
      <c r="B216" s="39" t="s">
        <v>430</v>
      </c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</row>
    <row r="217" spans="1:44">
      <c r="A217" s="38">
        <v>46365</v>
      </c>
      <c r="B217" s="39" t="s">
        <v>431</v>
      </c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</row>
    <row r="218" spans="1:44">
      <c r="A218" s="38">
        <v>46366</v>
      </c>
      <c r="B218" s="39" t="s">
        <v>432</v>
      </c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</row>
    <row r="219" spans="1:44">
      <c r="A219" s="38">
        <v>46367</v>
      </c>
      <c r="B219" s="39" t="s">
        <v>433</v>
      </c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</row>
    <row r="220" spans="1:44">
      <c r="A220" s="38">
        <v>46370</v>
      </c>
      <c r="B220" s="39" t="s">
        <v>429</v>
      </c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</row>
    <row r="221" spans="1:44">
      <c r="A221" s="38">
        <v>46371</v>
      </c>
      <c r="B221" s="39" t="s">
        <v>430</v>
      </c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</row>
    <row r="222" spans="1:44">
      <c r="A222" s="38">
        <v>46372</v>
      </c>
      <c r="B222" s="39" t="s">
        <v>431</v>
      </c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</row>
    <row r="223" spans="1:44">
      <c r="A223" s="38">
        <v>46373</v>
      </c>
      <c r="B223" s="39" t="s">
        <v>432</v>
      </c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</row>
    <row r="224" spans="1:44">
      <c r="A224" s="38">
        <v>46374</v>
      </c>
      <c r="B224" s="39" t="s">
        <v>433</v>
      </c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</row>
    <row r="225" spans="1:44">
      <c r="A225" s="38">
        <v>46377</v>
      </c>
      <c r="B225" s="39" t="s">
        <v>429</v>
      </c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</row>
    <row r="226" spans="1:44">
      <c r="A226" s="38">
        <v>46378</v>
      </c>
      <c r="B226" s="39" t="s">
        <v>430</v>
      </c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</row>
    <row r="227" spans="1:44">
      <c r="A227" s="38">
        <v>46379</v>
      </c>
      <c r="B227" s="39" t="s">
        <v>431</v>
      </c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</row>
    <row r="228" spans="1:44">
      <c r="A228" s="38">
        <v>46380</v>
      </c>
      <c r="B228" s="39" t="s">
        <v>432</v>
      </c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</row>
    <row r="229" spans="1:44">
      <c r="A229" s="38">
        <v>46381</v>
      </c>
      <c r="B229" s="39" t="s">
        <v>433</v>
      </c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</row>
    <row r="230" spans="1:44">
      <c r="A230" s="38">
        <v>46384</v>
      </c>
      <c r="B230" s="39" t="s">
        <v>429</v>
      </c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</row>
    <row r="231" spans="1:44">
      <c r="A231" s="38">
        <v>46385</v>
      </c>
      <c r="B231" s="39" t="s">
        <v>430</v>
      </c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</row>
    <row r="232" spans="1:44">
      <c r="A232" s="38">
        <v>46386</v>
      </c>
      <c r="B232" s="39" t="s">
        <v>431</v>
      </c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</row>
    <row r="233" spans="1:44">
      <c r="A233" s="38">
        <v>46387</v>
      </c>
      <c r="B233" s="39" t="s">
        <v>432</v>
      </c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</row>
    <row r="234" spans="1:44">
      <c r="A234" s="2" t="s">
        <v>434</v>
      </c>
      <c r="B234" s="2" t="s">
        <v>434</v>
      </c>
      <c r="C234" s="2"/>
      <c r="D234" s="2"/>
      <c r="E234" s="2"/>
      <c r="F234" s="2" t="s">
        <v>434</v>
      </c>
      <c r="G234" s="2" t="s">
        <v>434</v>
      </c>
      <c r="H234" s="2" t="s">
        <v>434</v>
      </c>
      <c r="I234" s="2" t="s">
        <v>434</v>
      </c>
      <c r="J234" s="2"/>
      <c r="K234" s="2" t="s">
        <v>434</v>
      </c>
      <c r="L234" s="2" t="s">
        <v>434</v>
      </c>
      <c r="M234" s="2" t="s">
        <v>434</v>
      </c>
      <c r="N234" s="2" t="s">
        <v>434</v>
      </c>
      <c r="O234" s="2" t="s">
        <v>434</v>
      </c>
      <c r="P234" s="2" t="s">
        <v>434</v>
      </c>
      <c r="Q234" s="2" t="s">
        <v>434</v>
      </c>
      <c r="R234" s="2" t="s">
        <v>434</v>
      </c>
      <c r="S234" s="2" t="s">
        <v>434</v>
      </c>
      <c r="T234" s="2" t="s">
        <v>434</v>
      </c>
      <c r="U234" s="2"/>
      <c r="V234" s="2" t="s">
        <v>434</v>
      </c>
      <c r="W234" s="2" t="s">
        <v>434</v>
      </c>
      <c r="X234" s="2" t="s">
        <v>434</v>
      </c>
      <c r="Y234" s="2" t="s">
        <v>434</v>
      </c>
      <c r="Z234" s="2" t="s">
        <v>434</v>
      </c>
      <c r="AA234" s="2" t="s">
        <v>434</v>
      </c>
      <c r="AB234" s="2" t="s">
        <v>434</v>
      </c>
      <c r="AC234" s="2" t="s">
        <v>434</v>
      </c>
      <c r="AD234" s="2" t="s">
        <v>434</v>
      </c>
      <c r="AE234" s="2" t="s">
        <v>434</v>
      </c>
      <c r="AF234" s="2"/>
      <c r="AG234" s="2" t="s">
        <v>434</v>
      </c>
      <c r="AH234" s="2" t="s">
        <v>434</v>
      </c>
      <c r="AI234" s="2" t="s">
        <v>434</v>
      </c>
      <c r="AJ234" s="2" t="s">
        <v>434</v>
      </c>
      <c r="AK234" s="2" t="s">
        <v>434</v>
      </c>
      <c r="AL234" s="2" t="s">
        <v>434</v>
      </c>
      <c r="AM234" s="2" t="s">
        <v>434</v>
      </c>
      <c r="AN234" s="2"/>
      <c r="AO234" s="2" t="s">
        <v>434</v>
      </c>
      <c r="AP234" s="2" t="s">
        <v>434</v>
      </c>
      <c r="AQ234" s="2" t="s">
        <v>434</v>
      </c>
      <c r="AR234" s="2" t="s">
        <v>434</v>
      </c>
    </row>
  </sheetData>
  <autoFilter ref="A4:AR233"/>
  <mergeCells count="6">
    <mergeCell ref="E5:E9"/>
    <mergeCell ref="AF5:AF16"/>
    <mergeCell ref="B2:B3"/>
    <mergeCell ref="A1:B1"/>
    <mergeCell ref="A2:A3"/>
    <mergeCell ref="J5:J19"/>
  </mergeCells>
  <conditionalFormatting sqref="C5:D32 C33:AR233 E10:E15 E16:I19 E20:AR32 F5:AR5 F6:I15 K6:AE16 K17:AR19 AG6:AR16">
    <cfRule type="cellIs" dxfId="7" priority="9" operator="equal">
      <formula>"ERRO"</formula>
    </cfRule>
    <cfRule type="cellIs" dxfId="6" priority="10" operator="equal">
      <formula>"OK"</formula>
    </cfRule>
  </conditionalFormatting>
  <conditionalFormatting sqref="C3:AR3">
    <cfRule type="cellIs" dxfId="5" priority="3" operator="greaterThanOrEqual">
      <formula>0.95</formula>
    </cfRule>
    <cfRule type="cellIs" dxfId="4" priority="4" operator="lessThanOrEqual">
      <formula>0.8</formula>
    </cfRule>
    <cfRule type="cellIs" dxfId="3" priority="5" operator="between">
      <formula>0.81</formula>
      <formula>0.949999999999999</formula>
    </cfRule>
  </conditionalFormatting>
  <dataValidations count="1">
    <dataValidation type="list" allowBlank="1" showInputMessage="1" showErrorMessage="1" sqref="C5:D233 E10:E15 E16:H233 F5:I15 I16:I22 I23:M24 I25:P26 I27:R233 J5 J20:J22 K5:M22 N5:P24 Q5:R26 S5:AA233 AB5:AE27 AB28:AC233 AD28:AF29 AD30:AG233 AF5 AF17:AF27 AG5:AG29 AH5:AR233">
      <formula1>$AS$1:$AT$1</formula1>
    </dataValidation>
  </dataValidations>
  <hyperlinks>
    <hyperlink ref="C2" r:id="rId1"/>
    <hyperlink ref="D2" r:id="rId2"/>
    <hyperlink ref="E2" r:id="rId3"/>
    <hyperlink ref="F2" r:id="rId4" display="https://app.powerbi.com/groups/3ed8daac-5cc7-47f5-b4f3-adfe6deaacc7?experience=power-bi"/>
    <hyperlink ref="G2" r:id="rId5" display="https://app.powerbi.com/groups/3ed8daac-5cc7-47f5-b4f3-adfe6deaacc7?experience=power-bi"/>
    <hyperlink ref="H2" r:id="rId6" display="https://app.powerbi.com/groups/3ed8daac-5cc7-47f5-b4f3-adfe6deaacc7?experience=power-bi"/>
    <hyperlink ref="I2" r:id="rId7" display="https://app.powerbi.com/groups/0b73efc3-c3cc-45f1-9240-519e55b13de5?experience=power-bi"/>
    <hyperlink ref="J2" r:id="rId8" display="https://app.powerbi.com/groups/0b73efc3-c3cc-45f1-9240-519e55b13de5?experience=power-bi"/>
    <hyperlink ref="K2" r:id="rId9" display="https://app.powerbi.com/groups/0b73efc3-c3cc-45f1-9240-519e55b13de5?experience=power-bi"/>
    <hyperlink ref="L2" r:id="rId10" display="https://app.powerbi.com/groups/0b73efc3-c3cc-45f1-9240-519e55b13de5?experience=power-bi"/>
    <hyperlink ref="M2" r:id="rId11" display="https://app.powerbi.com/groups/0b73efc3-c3cc-45f1-9240-519e55b13de5?experience=power-bi"/>
    <hyperlink ref="N2" r:id="rId12" display="https://app.powerbi.com/groups/0b73efc3-c3cc-45f1-9240-519e55b13de5?experience=power-bi"/>
    <hyperlink ref="O2" r:id="rId13" display="https://app.powerbi.com/groups/0b73efc3-c3cc-45f1-9240-519e55b13de5?experience=power-bi"/>
    <hyperlink ref="P2" r:id="rId14" display="https://app.powerbi.com/groups/0b73efc3-c3cc-45f1-9240-519e55b13de5?experience=power-bi"/>
    <hyperlink ref="Q2" r:id="rId15" display="https://app.powerbi.com/groups/0b73efc3-c3cc-45f1-9240-519e55b13de5?experience=power-bi"/>
    <hyperlink ref="R2" r:id="rId16" display="https://app.powerbi.com/groups/0b73efc3-c3cc-45f1-9240-519e55b13de5?experience=power-bi"/>
    <hyperlink ref="S2" r:id="rId17" display="https://app.powerbi.com/groups/0b73efc3-c3cc-45f1-9240-519e55b13de5?experience=power-bi"/>
    <hyperlink ref="T2" r:id="rId18" display="https://app.powerbi.com/groups/0b73efc3-c3cc-45f1-9240-519e55b13de5?experience=power-bi"/>
    <hyperlink ref="U2" r:id="rId19" display="https://app.powerbi.com/groups/0b73efc3-c3cc-45f1-9240-519e55b13de5?experience=power-bi"/>
    <hyperlink ref="V2" r:id="rId20" display="https://app.powerbi.com/groups/43774005-3ad4-4a71-a12c-c70f24edf487?experience=power-bi"/>
    <hyperlink ref="W2" r:id="rId21" display="https://app.powerbi.com/groups/6d38c256-3ede-43cc-83c5-3510a3e6bc0c?experience=power-bi"/>
    <hyperlink ref="X2" r:id="rId22" display="https://app.powerbi.com/groups/fad50932-b25d-41c1-b165-1c1d0af6b5ad?experience=power-bi"/>
    <hyperlink ref="Y2" r:id="rId23" display="https://app.powerbi.com/groups/fad50932-b25d-41c1-b165-1c1d0af6b5ad?experience=power-bi"/>
    <hyperlink ref="Z2" r:id="rId24" display="https://app.powerbi.com/groups/fad50932-b25d-41c1-b165-1c1d0af6b5ad?experience=power-bi"/>
    <hyperlink ref="AA2" r:id="rId25" display="https://app.powerbi.com/groups/fad50932-b25d-41c1-b165-1c1d0af6b5ad?experience=power-bi"/>
    <hyperlink ref="AB2" r:id="rId26" display="https://app.powerbi.com/groups/fad50932-b25d-41c1-b165-1c1d0af6b5ad?experience=power-bi"/>
    <hyperlink ref="AC2" r:id="rId27" display="https://app.powerbi.com/groups/fad50932-b25d-41c1-b165-1c1d0af6b5ad?experience=power-bi"/>
    <hyperlink ref="AD2" r:id="rId28" display="https://app.powerbi.com/groups/571a4a31-79dc-4124-91a1-4130706f9cc2?experience=power-bi"/>
    <hyperlink ref="AE2" r:id="rId29" display="https://app.powerbi.com/groups/571a4a31-79dc-4124-91a1-4130706f9cc2?experience=power-bi"/>
    <hyperlink ref="AF2" r:id="rId30"/>
    <hyperlink ref="AG2" r:id="rId31" display="https://app.powerbi.com/groups/35450d52-832b-4557-98f5-f2f88da17c40?experience=power-bi"/>
    <hyperlink ref="AH2" r:id="rId32" display="https://app.powerbi.com/groups/1abc4333-9f61-43db-8926-59ed05976d2a?experience=power-bi"/>
    <hyperlink ref="AI2" r:id="rId33" display="https://app.powerbi.com/groups/1abc4333-9f61-43db-8926-59ed05976d2a?experience=power-bi"/>
    <hyperlink ref="AJ2" r:id="rId34" display="https://app.powerbi.com/groups/1abc4333-9f61-43db-8926-59ed05976d2a?experience=power-bi"/>
    <hyperlink ref="AK2" r:id="rId35" display="https://app.powerbi.com/groups/1abc4333-9f61-43db-8926-59ed05976d2a?experience=power-bi"/>
    <hyperlink ref="AL2" r:id="rId36" display="https://app.powerbi.com/groups/1abc4333-9f61-43db-8926-59ed05976d2a?experience=power-bi"/>
    <hyperlink ref="AM2" r:id="rId37" display="https://app.powerbi.com/groups/1abc4333-9f61-43db-8926-59ed05976d2a?experience=power-bi"/>
    <hyperlink ref="AN2" r:id="rId38"/>
    <hyperlink ref="AO2" r:id="rId39" display="https://app.powerbi.com/groups/4963782d-ca3c-4507-9fc1-6cfe1216c285?experience=power-bi"/>
    <hyperlink ref="AP2" r:id="rId40" display="https://app.powerbi.com/groups/4963782d-ca3c-4507-9fc1-6cfe1216c285?experience=power-bi"/>
    <hyperlink ref="AQ2" r:id="rId41" display="https://app.powerbi.com/groups/4963782d-ca3c-4507-9fc1-6cfe1216c285?experience=power-bi"/>
    <hyperlink ref="AR2" r:id="rId42" display="https://app.powerbi.com/groups/bd03572a-f34d-4ff6-9bb4-541d4ab5118c?experience=power-bi"/>
  </hyperlinks>
  <pageMargins left="0.7" right="0.7" top="0.75" bottom="0.75" header="0.3" footer="0.3"/>
  <pageSetup paperSize="9" orientation="portrait" verticalDpi="0"/>
  <legacyDrawing r:id="rId4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0"/>
  <sheetViews>
    <sheetView showGridLines="0" topLeftCell="A26" workbookViewId="0">
      <selection activeCell="M35" sqref="M35"/>
    </sheetView>
  </sheetViews>
  <sheetFormatPr defaultRowHeight="13.8"/>
  <cols>
    <col min="1" max="1" width="13.3984375" style="93" bestFit="1" customWidth="1"/>
    <col min="2" max="2" width="12.296875" style="93" bestFit="1" customWidth="1"/>
    <col min="3" max="4" width="6" style="93" bestFit="1" customWidth="1"/>
    <col min="5" max="6" width="11.296875" style="93" bestFit="1" customWidth="1"/>
    <col min="8" max="8" width="17.8984375" style="93" bestFit="1" customWidth="1"/>
    <col min="9" max="9" width="16.8984375" style="93" bestFit="1" customWidth="1"/>
    <col min="10" max="11" width="6" style="93" bestFit="1" customWidth="1"/>
    <col min="12" max="12" width="11.296875" style="93" bestFit="1" customWidth="1"/>
  </cols>
  <sheetData>
    <row r="2" spans="1:5">
      <c r="A2" s="12" t="s">
        <v>435</v>
      </c>
      <c r="B2" s="12" t="s">
        <v>436</v>
      </c>
    </row>
    <row r="3" spans="1:5">
      <c r="A3" s="12" t="s">
        <v>437</v>
      </c>
      <c r="B3" t="s">
        <v>198</v>
      </c>
      <c r="C3" t="s">
        <v>213</v>
      </c>
      <c r="D3" t="s">
        <v>187</v>
      </c>
      <c r="E3" t="s">
        <v>438</v>
      </c>
    </row>
    <row r="4" spans="1:5">
      <c r="A4" s="94">
        <v>2023</v>
      </c>
      <c r="C4">
        <v>1</v>
      </c>
      <c r="E4">
        <v>1</v>
      </c>
    </row>
    <row r="5" spans="1:5">
      <c r="A5" s="94">
        <v>2024</v>
      </c>
      <c r="B5">
        <v>2</v>
      </c>
      <c r="C5">
        <v>5</v>
      </c>
      <c r="E5">
        <v>7</v>
      </c>
    </row>
    <row r="6" spans="1:5">
      <c r="A6" s="94">
        <v>2025</v>
      </c>
      <c r="B6">
        <v>10</v>
      </c>
      <c r="C6">
        <v>8</v>
      </c>
      <c r="D6">
        <v>11</v>
      </c>
      <c r="E6">
        <v>29</v>
      </c>
    </row>
    <row r="7" spans="1:5">
      <c r="A7" s="94">
        <v>2026</v>
      </c>
      <c r="D7">
        <v>19</v>
      </c>
      <c r="E7">
        <v>19</v>
      </c>
    </row>
    <row r="8" spans="1:5">
      <c r="A8" s="94" t="s">
        <v>438</v>
      </c>
      <c r="B8">
        <v>12</v>
      </c>
      <c r="C8">
        <v>14</v>
      </c>
      <c r="D8">
        <v>30</v>
      </c>
      <c r="E8">
        <v>56</v>
      </c>
    </row>
    <row r="18" spans="1:3">
      <c r="A18" s="12" t="s">
        <v>437</v>
      </c>
      <c r="B18" t="s">
        <v>435</v>
      </c>
    </row>
    <row r="19" spans="1:3">
      <c r="A19" s="94" t="s">
        <v>198</v>
      </c>
      <c r="B19">
        <v>12</v>
      </c>
      <c r="C19" s="13">
        <f>B19/$B$22</f>
        <v>0.21428571428571427</v>
      </c>
    </row>
    <row r="20" spans="1:3">
      <c r="A20" s="94" t="s">
        <v>213</v>
      </c>
      <c r="B20">
        <v>14</v>
      </c>
      <c r="C20" s="13">
        <f>B20/$B$22</f>
        <v>0.25</v>
      </c>
    </row>
    <row r="21" spans="1:3">
      <c r="A21" s="94" t="s">
        <v>187</v>
      </c>
      <c r="B21">
        <v>30</v>
      </c>
      <c r="C21" s="13">
        <f>B21/$B$22</f>
        <v>0.5357142857142857</v>
      </c>
    </row>
    <row r="22" spans="1:3">
      <c r="A22" s="94" t="s">
        <v>438</v>
      </c>
      <c r="B22">
        <v>56</v>
      </c>
    </row>
    <row r="30" spans="1:3">
      <c r="A30" s="12" t="s">
        <v>4</v>
      </c>
      <c r="B30" t="s">
        <v>439</v>
      </c>
    </row>
    <row r="32" spans="1:3">
      <c r="A32" s="12" t="s">
        <v>437</v>
      </c>
      <c r="B32" t="s">
        <v>435</v>
      </c>
    </row>
    <row r="33" spans="1:5">
      <c r="A33" s="94" t="s">
        <v>418</v>
      </c>
      <c r="B33">
        <v>32</v>
      </c>
    </row>
    <row r="34" spans="1:5">
      <c r="A34" s="94" t="s">
        <v>440</v>
      </c>
      <c r="B34">
        <v>4</v>
      </c>
    </row>
    <row r="35" spans="1:5">
      <c r="A35" s="94" t="s">
        <v>441</v>
      </c>
      <c r="B35">
        <v>20</v>
      </c>
    </row>
    <row r="36" spans="1:5">
      <c r="A36" s="94" t="s">
        <v>438</v>
      </c>
      <c r="B36">
        <v>56</v>
      </c>
    </row>
    <row r="38" spans="1:5">
      <c r="A38" s="12" t="s">
        <v>4</v>
      </c>
      <c r="B38" t="s">
        <v>439</v>
      </c>
    </row>
    <row r="40" spans="1:5">
      <c r="A40" s="12" t="s">
        <v>435</v>
      </c>
      <c r="B40" s="12" t="s">
        <v>436</v>
      </c>
    </row>
    <row r="41" spans="1:5">
      <c r="A41" s="12" t="s">
        <v>437</v>
      </c>
      <c r="B41" t="s">
        <v>418</v>
      </c>
      <c r="C41" t="s">
        <v>440</v>
      </c>
      <c r="D41" t="s">
        <v>441</v>
      </c>
      <c r="E41" t="s">
        <v>438</v>
      </c>
    </row>
    <row r="42" spans="1:5">
      <c r="A42" s="94" t="s">
        <v>442</v>
      </c>
      <c r="B42">
        <v>5</v>
      </c>
      <c r="E42">
        <v>5</v>
      </c>
    </row>
    <row r="43" spans="1:5">
      <c r="A43" s="94" t="s">
        <v>443</v>
      </c>
      <c r="B43">
        <v>8</v>
      </c>
      <c r="E43">
        <v>8</v>
      </c>
    </row>
    <row r="44" spans="1:5">
      <c r="A44" s="94" t="s">
        <v>444</v>
      </c>
      <c r="B44">
        <v>2</v>
      </c>
      <c r="E44">
        <v>2</v>
      </c>
    </row>
    <row r="45" spans="1:5">
      <c r="A45" s="94" t="s">
        <v>445</v>
      </c>
      <c r="B45">
        <v>11</v>
      </c>
      <c r="E45">
        <v>11</v>
      </c>
    </row>
    <row r="46" spans="1:5">
      <c r="A46" s="94" t="s">
        <v>446</v>
      </c>
      <c r="B46">
        <v>6</v>
      </c>
      <c r="E46">
        <v>6</v>
      </c>
    </row>
    <row r="47" spans="1:5">
      <c r="A47" s="94" t="s">
        <v>447</v>
      </c>
      <c r="D47">
        <v>7</v>
      </c>
      <c r="E47">
        <v>7</v>
      </c>
    </row>
    <row r="48" spans="1:5">
      <c r="A48" s="94" t="s">
        <v>448</v>
      </c>
      <c r="D48">
        <v>4</v>
      </c>
      <c r="E48">
        <v>4</v>
      </c>
    </row>
    <row r="49" spans="1:5">
      <c r="A49" s="94" t="s">
        <v>449</v>
      </c>
      <c r="D49">
        <v>6</v>
      </c>
      <c r="E49">
        <v>6</v>
      </c>
    </row>
    <row r="50" spans="1:5">
      <c r="A50" s="94" t="s">
        <v>450</v>
      </c>
      <c r="D50">
        <v>3</v>
      </c>
      <c r="E50">
        <v>3</v>
      </c>
    </row>
    <row r="51" spans="1:5">
      <c r="A51" s="94" t="s">
        <v>451</v>
      </c>
      <c r="C51">
        <v>4</v>
      </c>
      <c r="E51">
        <v>4</v>
      </c>
    </row>
    <row r="52" spans="1:5">
      <c r="A52" s="94" t="s">
        <v>438</v>
      </c>
      <c r="B52">
        <v>32</v>
      </c>
      <c r="C52">
        <v>4</v>
      </c>
      <c r="D52">
        <v>20</v>
      </c>
      <c r="E52">
        <v>56</v>
      </c>
    </row>
    <row r="56" spans="1:5">
      <c r="A56" s="12" t="s">
        <v>437</v>
      </c>
      <c r="B56" t="s">
        <v>452</v>
      </c>
    </row>
    <row r="57" spans="1:5">
      <c r="A57" s="94" t="s">
        <v>453</v>
      </c>
      <c r="B57">
        <v>7</v>
      </c>
    </row>
    <row r="58" spans="1:5">
      <c r="A58" s="94" t="s">
        <v>454</v>
      </c>
      <c r="B58">
        <v>2</v>
      </c>
    </row>
    <row r="59" spans="1:5">
      <c r="A59" s="94" t="s">
        <v>455</v>
      </c>
      <c r="B59">
        <v>15</v>
      </c>
    </row>
    <row r="60" spans="1:5">
      <c r="A60" s="94" t="s">
        <v>456</v>
      </c>
      <c r="B60">
        <v>1</v>
      </c>
    </row>
    <row r="61" spans="1:5">
      <c r="A61" s="94" t="s">
        <v>438</v>
      </c>
      <c r="B61">
        <v>25</v>
      </c>
    </row>
    <row r="75" spans="1:2">
      <c r="A75" s="12" t="s">
        <v>437</v>
      </c>
      <c r="B75" t="s">
        <v>457</v>
      </c>
    </row>
    <row r="76" spans="1:2">
      <c r="A76" s="94" t="s">
        <v>453</v>
      </c>
      <c r="B76">
        <v>27</v>
      </c>
    </row>
    <row r="77" spans="1:2">
      <c r="A77" s="94" t="s">
        <v>454</v>
      </c>
      <c r="B77">
        <v>10</v>
      </c>
    </row>
    <row r="78" spans="1:2">
      <c r="A78" s="94" t="s">
        <v>455</v>
      </c>
      <c r="B78">
        <v>125</v>
      </c>
    </row>
    <row r="79" spans="1:2">
      <c r="A79" s="94" t="s">
        <v>456</v>
      </c>
      <c r="B79">
        <v>2</v>
      </c>
    </row>
    <row r="80" spans="1:2">
      <c r="A80" s="94" t="s">
        <v>438</v>
      </c>
      <c r="B80">
        <v>164</v>
      </c>
    </row>
  </sheetData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239"/>
  <sheetViews>
    <sheetView showGridLines="0" topLeftCell="A74" workbookViewId="0">
      <pane xSplit="2" topLeftCell="C1" activePane="topRight" state="frozen"/>
      <selection activeCell="C37" sqref="C37"/>
      <selection pane="topRight" activeCell="D82" sqref="D82"/>
    </sheetView>
  </sheetViews>
  <sheetFormatPr defaultRowHeight="13.8"/>
  <cols>
    <col min="1" max="2" width="19" style="97" customWidth="1"/>
    <col min="3" max="3" width="31.69921875" style="97" customWidth="1"/>
    <col min="4" max="4" width="90.09765625" style="91" customWidth="1"/>
    <col min="5" max="5" width="45.59765625" style="93" bestFit="1" customWidth="1"/>
  </cols>
  <sheetData>
    <row r="1" spans="1:5" ht="47.25" customHeight="1">
      <c r="A1" s="111">
        <f ca="1">TODAY()</f>
        <v>46107</v>
      </c>
      <c r="B1" s="112"/>
      <c r="C1" s="92" t="s">
        <v>424</v>
      </c>
      <c r="D1" s="87"/>
    </row>
    <row r="2" spans="1:5" s="2" customFormat="1">
      <c r="A2" s="42" t="s">
        <v>426</v>
      </c>
      <c r="B2" s="42" t="s">
        <v>427</v>
      </c>
      <c r="C2" s="42" t="s">
        <v>171</v>
      </c>
      <c r="D2" s="88" t="s">
        <v>198</v>
      </c>
    </row>
    <row r="3" spans="1:5" s="14" customFormat="1" ht="55.2" customHeight="1">
      <c r="A3" s="47">
        <v>46069</v>
      </c>
      <c r="B3" s="48" t="s">
        <v>429</v>
      </c>
      <c r="C3" s="49" t="s">
        <v>286</v>
      </c>
      <c r="D3" s="50" t="s">
        <v>458</v>
      </c>
      <c r="E3" s="14" t="s">
        <v>459</v>
      </c>
    </row>
    <row r="4" spans="1:5" s="55" customFormat="1" ht="55.2" customHeight="1">
      <c r="A4" s="51">
        <v>46069</v>
      </c>
      <c r="B4" s="52" t="s">
        <v>429</v>
      </c>
      <c r="C4" s="53" t="s">
        <v>345</v>
      </c>
      <c r="D4" s="60" t="s">
        <v>460</v>
      </c>
      <c r="E4" s="55" t="s">
        <v>461</v>
      </c>
    </row>
    <row r="5" spans="1:5" s="64" customFormat="1" ht="55.2" customHeight="1">
      <c r="A5" s="61">
        <v>46069</v>
      </c>
      <c r="B5" s="62" t="s">
        <v>429</v>
      </c>
      <c r="C5" s="63" t="s">
        <v>407</v>
      </c>
      <c r="D5" s="60" t="s">
        <v>462</v>
      </c>
      <c r="E5" s="64" t="s">
        <v>461</v>
      </c>
    </row>
    <row r="6" spans="1:5" s="55" customFormat="1" ht="193.2" customHeight="1">
      <c r="A6" s="51">
        <v>46069</v>
      </c>
      <c r="B6" s="52" t="s">
        <v>429</v>
      </c>
      <c r="C6" s="53" t="s">
        <v>291</v>
      </c>
      <c r="D6" s="54" t="s">
        <v>463</v>
      </c>
      <c r="E6" s="55" t="s">
        <v>464</v>
      </c>
    </row>
    <row r="7" spans="1:5" s="55" customFormat="1" ht="193.2" customHeight="1">
      <c r="A7" s="51">
        <v>46070</v>
      </c>
      <c r="B7" s="52" t="s">
        <v>430</v>
      </c>
      <c r="C7" s="53" t="s">
        <v>291</v>
      </c>
      <c r="D7" s="54" t="s">
        <v>463</v>
      </c>
      <c r="E7" s="55" t="s">
        <v>464</v>
      </c>
    </row>
    <row r="8" spans="1:5" s="55" customFormat="1" ht="55.2" customHeight="1">
      <c r="A8" s="51">
        <v>46070</v>
      </c>
      <c r="B8" s="52" t="s">
        <v>430</v>
      </c>
      <c r="C8" s="53" t="s">
        <v>345</v>
      </c>
      <c r="D8" s="54" t="s">
        <v>460</v>
      </c>
      <c r="E8" s="55" t="s">
        <v>461</v>
      </c>
    </row>
    <row r="9" spans="1:5" s="14" customFormat="1" ht="55.2" customHeight="1">
      <c r="A9" s="47">
        <v>46070</v>
      </c>
      <c r="B9" s="48" t="s">
        <v>430</v>
      </c>
      <c r="C9" s="49" t="s">
        <v>286</v>
      </c>
      <c r="D9" s="50" t="s">
        <v>458</v>
      </c>
      <c r="E9" s="14" t="s">
        <v>459</v>
      </c>
    </row>
    <row r="10" spans="1:5" s="55" customFormat="1" ht="55.2" customHeight="1">
      <c r="A10" s="51">
        <v>46071</v>
      </c>
      <c r="B10" s="52" t="s">
        <v>431</v>
      </c>
      <c r="C10" s="53" t="s">
        <v>345</v>
      </c>
      <c r="D10" s="54" t="s">
        <v>460</v>
      </c>
      <c r="E10" s="55" t="s">
        <v>461</v>
      </c>
    </row>
    <row r="11" spans="1:5" s="55" customFormat="1" ht="193.2" customHeight="1">
      <c r="A11" s="51">
        <v>46071</v>
      </c>
      <c r="B11" s="52" t="s">
        <v>431</v>
      </c>
      <c r="C11" s="53" t="s">
        <v>291</v>
      </c>
      <c r="D11" s="54" t="s">
        <v>463</v>
      </c>
      <c r="E11" s="55" t="s">
        <v>464</v>
      </c>
    </row>
    <row r="12" spans="1:5" s="14" customFormat="1" ht="55.2" customHeight="1">
      <c r="A12" s="47">
        <v>46071</v>
      </c>
      <c r="B12" s="48" t="s">
        <v>431</v>
      </c>
      <c r="C12" s="49" t="s">
        <v>286</v>
      </c>
      <c r="D12" s="50" t="s">
        <v>458</v>
      </c>
      <c r="E12" s="14" t="s">
        <v>459</v>
      </c>
    </row>
    <row r="13" spans="1:5" s="14" customFormat="1" ht="303.60000000000002" customHeight="1">
      <c r="A13" s="47">
        <v>46072</v>
      </c>
      <c r="B13" s="48" t="s">
        <v>432</v>
      </c>
      <c r="C13" s="49" t="s">
        <v>286</v>
      </c>
      <c r="D13" s="50" t="s">
        <v>465</v>
      </c>
      <c r="E13" s="14" t="s">
        <v>459</v>
      </c>
    </row>
    <row r="14" spans="1:5" s="55" customFormat="1" ht="193.2" customHeight="1">
      <c r="A14" s="51">
        <v>46072</v>
      </c>
      <c r="B14" s="52" t="s">
        <v>432</v>
      </c>
      <c r="C14" s="53" t="s">
        <v>291</v>
      </c>
      <c r="D14" s="54" t="s">
        <v>466</v>
      </c>
      <c r="E14" s="55" t="s">
        <v>464</v>
      </c>
    </row>
    <row r="15" spans="1:5" s="14" customFormat="1" ht="303.60000000000002" customHeight="1">
      <c r="A15" s="47">
        <v>46073</v>
      </c>
      <c r="B15" s="48" t="s">
        <v>433</v>
      </c>
      <c r="C15" s="49" t="s">
        <v>286</v>
      </c>
      <c r="D15" s="50" t="s">
        <v>465</v>
      </c>
      <c r="E15" s="14" t="s">
        <v>459</v>
      </c>
    </row>
    <row r="16" spans="1:5" s="64" customFormat="1" ht="82.8" customHeight="1">
      <c r="A16" s="61">
        <v>46073</v>
      </c>
      <c r="B16" s="62" t="s">
        <v>433</v>
      </c>
      <c r="C16" s="63" t="s">
        <v>291</v>
      </c>
      <c r="D16" s="60" t="s">
        <v>467</v>
      </c>
      <c r="E16" s="64" t="s">
        <v>461</v>
      </c>
    </row>
    <row r="17" spans="1:5" s="64" customFormat="1" ht="96.6" customHeight="1">
      <c r="A17" s="61">
        <v>46076</v>
      </c>
      <c r="B17" s="62" t="s">
        <v>429</v>
      </c>
      <c r="C17" s="63" t="s">
        <v>265</v>
      </c>
      <c r="D17" s="60" t="s">
        <v>468</v>
      </c>
      <c r="E17" s="64" t="s">
        <v>461</v>
      </c>
    </row>
    <row r="18" spans="1:5" s="14" customFormat="1" ht="303.60000000000002" customHeight="1">
      <c r="A18" s="47">
        <v>46076</v>
      </c>
      <c r="B18" s="48" t="s">
        <v>429</v>
      </c>
      <c r="C18" s="49" t="s">
        <v>286</v>
      </c>
      <c r="D18" s="50" t="s">
        <v>465</v>
      </c>
      <c r="E18" s="14" t="s">
        <v>459</v>
      </c>
    </row>
    <row r="19" spans="1:5" s="64" customFormat="1" ht="96.6" customHeight="1">
      <c r="A19" s="61">
        <v>46077</v>
      </c>
      <c r="B19" s="62" t="s">
        <v>430</v>
      </c>
      <c r="C19" s="63" t="s">
        <v>265</v>
      </c>
      <c r="D19" s="60" t="s">
        <v>468</v>
      </c>
    </row>
    <row r="20" spans="1:5" s="64" customFormat="1" ht="110.4" customHeight="1">
      <c r="A20" s="61">
        <v>46077</v>
      </c>
      <c r="B20" s="62" t="s">
        <v>430</v>
      </c>
      <c r="C20" s="63" t="s">
        <v>270</v>
      </c>
      <c r="D20" s="60" t="s">
        <v>469</v>
      </c>
    </row>
    <row r="21" spans="1:5" s="14" customFormat="1" ht="96.6" customHeight="1">
      <c r="A21" s="47">
        <v>46077</v>
      </c>
      <c r="B21" s="48" t="s">
        <v>430</v>
      </c>
      <c r="C21" s="49" t="s">
        <v>286</v>
      </c>
      <c r="D21" s="50" t="s">
        <v>470</v>
      </c>
    </row>
    <row r="22" spans="1:5" s="64" customFormat="1" ht="96.6" customHeight="1">
      <c r="A22" s="61">
        <v>46078</v>
      </c>
      <c r="B22" s="62" t="s">
        <v>431</v>
      </c>
      <c r="C22" s="63" t="s">
        <v>265</v>
      </c>
      <c r="D22" s="60" t="s">
        <v>468</v>
      </c>
    </row>
    <row r="23" spans="1:5" s="64" customFormat="1" ht="110.4" customHeight="1">
      <c r="A23" s="61">
        <v>46078</v>
      </c>
      <c r="B23" s="62" t="s">
        <v>431</v>
      </c>
      <c r="C23" s="63" t="s">
        <v>270</v>
      </c>
      <c r="D23" s="60" t="s">
        <v>469</v>
      </c>
    </row>
    <row r="24" spans="1:5" s="14" customFormat="1" ht="96.6" customHeight="1">
      <c r="A24" s="47">
        <v>46078</v>
      </c>
      <c r="B24" s="48" t="s">
        <v>431</v>
      </c>
      <c r="C24" s="49" t="s">
        <v>286</v>
      </c>
      <c r="D24" s="50" t="s">
        <v>470</v>
      </c>
    </row>
    <row r="25" spans="1:5" s="14" customFormat="1" ht="96.6" customHeight="1">
      <c r="A25" s="47">
        <v>46079</v>
      </c>
      <c r="B25" s="48" t="s">
        <v>432</v>
      </c>
      <c r="C25" s="49" t="s">
        <v>286</v>
      </c>
      <c r="D25" s="50" t="s">
        <v>468</v>
      </c>
    </row>
    <row r="26" spans="1:5" s="64" customFormat="1" ht="110.4" customHeight="1">
      <c r="A26" s="61">
        <v>46079</v>
      </c>
      <c r="B26" s="62" t="s">
        <v>432</v>
      </c>
      <c r="C26" s="63" t="s">
        <v>270</v>
      </c>
      <c r="D26" s="60" t="s">
        <v>469</v>
      </c>
    </row>
    <row r="27" spans="1:5" s="64" customFormat="1" ht="96.6" customHeight="1">
      <c r="A27" s="61">
        <v>46079</v>
      </c>
      <c r="B27" s="62" t="s">
        <v>432</v>
      </c>
      <c r="C27" s="63" t="s">
        <v>265</v>
      </c>
      <c r="D27" s="60" t="s">
        <v>468</v>
      </c>
    </row>
    <row r="28" spans="1:5" s="64" customFormat="1" ht="110.4" customHeight="1">
      <c r="A28" s="61">
        <v>46080</v>
      </c>
      <c r="B28" s="62" t="s">
        <v>433</v>
      </c>
      <c r="C28" s="63" t="s">
        <v>270</v>
      </c>
      <c r="D28" s="60" t="s">
        <v>471</v>
      </c>
    </row>
    <row r="29" spans="1:5" s="14" customFormat="1" ht="96.6" customHeight="1">
      <c r="A29" s="47">
        <v>46080</v>
      </c>
      <c r="B29" s="48" t="s">
        <v>433</v>
      </c>
      <c r="C29" s="49" t="s">
        <v>286</v>
      </c>
      <c r="D29" s="50" t="s">
        <v>468</v>
      </c>
    </row>
    <row r="30" spans="1:5" s="14" customFormat="1" ht="96.6" customHeight="1">
      <c r="A30" s="47">
        <v>46083</v>
      </c>
      <c r="B30" s="48" t="s">
        <v>429</v>
      </c>
      <c r="C30" s="49" t="s">
        <v>286</v>
      </c>
      <c r="D30" s="50" t="s">
        <v>472</v>
      </c>
    </row>
    <row r="31" spans="1:5" s="14" customFormat="1" ht="96.6" customHeight="1">
      <c r="A31" s="47">
        <v>46083</v>
      </c>
      <c r="B31" s="48" t="s">
        <v>429</v>
      </c>
      <c r="C31" s="49" t="s">
        <v>196</v>
      </c>
      <c r="D31" s="50" t="s">
        <v>473</v>
      </c>
    </row>
    <row r="32" spans="1:5" s="14" customFormat="1" ht="96.6" customHeight="1">
      <c r="A32" s="47">
        <v>46084</v>
      </c>
      <c r="B32" s="48" t="s">
        <v>430</v>
      </c>
      <c r="C32" s="49" t="s">
        <v>196</v>
      </c>
      <c r="D32" s="50" t="s">
        <v>474</v>
      </c>
    </row>
    <row r="33" spans="1:4" s="14" customFormat="1" ht="96.6" customHeight="1">
      <c r="A33" s="47">
        <v>46084</v>
      </c>
      <c r="B33" s="48" t="s">
        <v>430</v>
      </c>
      <c r="C33" s="49" t="s">
        <v>286</v>
      </c>
      <c r="D33" s="50" t="s">
        <v>475</v>
      </c>
    </row>
    <row r="34" spans="1:4" s="14" customFormat="1" ht="96.6" customHeight="1">
      <c r="A34" s="47">
        <v>46085</v>
      </c>
      <c r="B34" s="48" t="s">
        <v>431</v>
      </c>
      <c r="C34" s="49" t="s">
        <v>196</v>
      </c>
      <c r="D34" s="50" t="s">
        <v>474</v>
      </c>
    </row>
    <row r="35" spans="1:4" s="14" customFormat="1" ht="96.6" customHeight="1">
      <c r="A35" s="47">
        <v>46085</v>
      </c>
      <c r="B35" s="48" t="s">
        <v>431</v>
      </c>
      <c r="C35" s="49" t="s">
        <v>286</v>
      </c>
      <c r="D35" s="50" t="s">
        <v>475</v>
      </c>
    </row>
    <row r="36" spans="1:4" s="14" customFormat="1" ht="96.6" customHeight="1">
      <c r="A36" s="47">
        <v>46086</v>
      </c>
      <c r="B36" s="48" t="s">
        <v>432</v>
      </c>
      <c r="C36" s="49" t="s">
        <v>196</v>
      </c>
      <c r="D36" s="50" t="s">
        <v>474</v>
      </c>
    </row>
    <row r="37" spans="1:4" s="14" customFormat="1" ht="96.6" customHeight="1">
      <c r="A37" s="47">
        <v>46086</v>
      </c>
      <c r="B37" s="48" t="s">
        <v>432</v>
      </c>
      <c r="C37" s="49" t="s">
        <v>286</v>
      </c>
      <c r="D37" s="50" t="s">
        <v>475</v>
      </c>
    </row>
    <row r="38" spans="1:4" s="14" customFormat="1" ht="96.6" customHeight="1">
      <c r="A38" s="47">
        <v>46087</v>
      </c>
      <c r="B38" s="48" t="s">
        <v>433</v>
      </c>
      <c r="C38" s="49" t="s">
        <v>286</v>
      </c>
      <c r="D38" s="50" t="s">
        <v>475</v>
      </c>
    </row>
    <row r="39" spans="1:4" s="14" customFormat="1" ht="96.6" customHeight="1">
      <c r="A39" s="47">
        <v>46087</v>
      </c>
      <c r="B39" s="48" t="s">
        <v>433</v>
      </c>
      <c r="C39" s="49" t="s">
        <v>196</v>
      </c>
      <c r="D39" s="50" t="s">
        <v>474</v>
      </c>
    </row>
    <row r="40" spans="1:4" s="64" customFormat="1" ht="96.6" customHeight="1">
      <c r="A40" s="61">
        <v>46090</v>
      </c>
      <c r="B40" s="62" t="s">
        <v>429</v>
      </c>
      <c r="C40" s="63" t="s">
        <v>185</v>
      </c>
      <c r="D40" s="60" t="s">
        <v>476</v>
      </c>
    </row>
    <row r="41" spans="1:4" s="14" customFormat="1" ht="96.6" customHeight="1">
      <c r="A41" s="47">
        <v>46090</v>
      </c>
      <c r="B41" s="48" t="s">
        <v>429</v>
      </c>
      <c r="C41" s="49" t="s">
        <v>196</v>
      </c>
      <c r="D41" s="50" t="s">
        <v>474</v>
      </c>
    </row>
    <row r="42" spans="1:4" s="14" customFormat="1" ht="111" customHeight="1">
      <c r="A42" s="47">
        <v>46090</v>
      </c>
      <c r="B42" s="48" t="s">
        <v>429</v>
      </c>
      <c r="C42" s="49" t="s">
        <v>286</v>
      </c>
      <c r="D42" s="50" t="s">
        <v>475</v>
      </c>
    </row>
    <row r="43" spans="1:4" s="14" customFormat="1" ht="96.6" customHeight="1">
      <c r="A43" s="47">
        <v>46091</v>
      </c>
      <c r="B43" s="48" t="s">
        <v>430</v>
      </c>
      <c r="C43" s="49" t="s">
        <v>196</v>
      </c>
      <c r="D43" s="50" t="s">
        <v>477</v>
      </c>
    </row>
    <row r="44" spans="1:4" s="14" customFormat="1" ht="96.6" customHeight="1">
      <c r="A44" s="47">
        <v>46091</v>
      </c>
      <c r="B44" s="48" t="s">
        <v>430</v>
      </c>
      <c r="C44" s="49" t="s">
        <v>286</v>
      </c>
      <c r="D44" s="50" t="s">
        <v>478</v>
      </c>
    </row>
    <row r="45" spans="1:4" s="14" customFormat="1" ht="96.6" customHeight="1">
      <c r="A45" s="47">
        <v>46092</v>
      </c>
      <c r="B45" s="48" t="s">
        <v>431</v>
      </c>
      <c r="C45" s="49" t="s">
        <v>286</v>
      </c>
      <c r="D45" s="50" t="s">
        <v>478</v>
      </c>
    </row>
    <row r="46" spans="1:4" s="14" customFormat="1" ht="96.6" customHeight="1">
      <c r="A46" s="47">
        <v>46092</v>
      </c>
      <c r="B46" s="48" t="s">
        <v>431</v>
      </c>
      <c r="C46" s="49" t="s">
        <v>196</v>
      </c>
      <c r="D46" s="50" t="s">
        <v>479</v>
      </c>
    </row>
    <row r="47" spans="1:4" s="14" customFormat="1" ht="96.6" customHeight="1">
      <c r="A47" s="47">
        <v>46093</v>
      </c>
      <c r="B47" s="48" t="s">
        <v>432</v>
      </c>
      <c r="C47" s="49" t="s">
        <v>196</v>
      </c>
      <c r="D47" s="50" t="s">
        <v>479</v>
      </c>
    </row>
    <row r="48" spans="1:4" s="14" customFormat="1" ht="103.5" customHeight="1">
      <c r="A48" s="47">
        <v>46093</v>
      </c>
      <c r="B48" s="48" t="s">
        <v>432</v>
      </c>
      <c r="C48" s="49" t="s">
        <v>286</v>
      </c>
      <c r="D48" s="50" t="s">
        <v>478</v>
      </c>
    </row>
    <row r="49" spans="1:5" s="14" customFormat="1" ht="96.6" customHeight="1">
      <c r="A49" s="47">
        <v>46094</v>
      </c>
      <c r="B49" s="48" t="s">
        <v>433</v>
      </c>
      <c r="C49" s="49" t="s">
        <v>196</v>
      </c>
      <c r="D49" s="50" t="s">
        <v>479</v>
      </c>
    </row>
    <row r="50" spans="1:5" s="14" customFormat="1" ht="96.6" customHeight="1">
      <c r="A50" s="47">
        <v>46094</v>
      </c>
      <c r="B50" s="48" t="s">
        <v>433</v>
      </c>
      <c r="C50" s="49" t="s">
        <v>286</v>
      </c>
      <c r="D50" s="50" t="s">
        <v>478</v>
      </c>
    </row>
    <row r="51" spans="1:5" s="14" customFormat="1" ht="110.4" customHeight="1">
      <c r="A51" s="47">
        <v>46097</v>
      </c>
      <c r="B51" s="48" t="s">
        <v>429</v>
      </c>
      <c r="C51" s="49" t="s">
        <v>196</v>
      </c>
      <c r="D51" s="50" t="s">
        <v>480</v>
      </c>
    </row>
    <row r="52" spans="1:5" s="82" customFormat="1" ht="112.5" customHeight="1">
      <c r="A52" s="78">
        <v>46101</v>
      </c>
      <c r="B52" s="79" t="s">
        <v>433</v>
      </c>
      <c r="C52" s="80" t="s">
        <v>481</v>
      </c>
      <c r="D52" s="81" t="s">
        <v>482</v>
      </c>
      <c r="E52" s="82" t="s">
        <v>483</v>
      </c>
    </row>
    <row r="53" spans="1:5" ht="96.6" customHeight="1">
      <c r="A53" s="43">
        <v>46105</v>
      </c>
      <c r="B53" s="44" t="s">
        <v>430</v>
      </c>
      <c r="C53" s="45" t="s">
        <v>407</v>
      </c>
      <c r="D53" s="83" t="s">
        <v>484</v>
      </c>
    </row>
    <row r="54" spans="1:5" ht="82.8" customHeight="1">
      <c r="A54" s="43" t="s">
        <v>485</v>
      </c>
      <c r="B54" s="44" t="s">
        <v>486</v>
      </c>
      <c r="C54" s="45" t="s">
        <v>487</v>
      </c>
      <c r="D54" s="83" t="s">
        <v>488</v>
      </c>
    </row>
    <row r="55" spans="1:5" ht="82.8" customHeight="1">
      <c r="A55" s="43" t="s">
        <v>485</v>
      </c>
      <c r="B55" s="44" t="s">
        <v>486</v>
      </c>
      <c r="C55" s="45" t="s">
        <v>196</v>
      </c>
      <c r="D55" s="83" t="s">
        <v>489</v>
      </c>
    </row>
    <row r="56" spans="1:5" ht="165.6" customHeight="1">
      <c r="A56" s="43" t="s">
        <v>485</v>
      </c>
      <c r="B56" s="44" t="s">
        <v>486</v>
      </c>
      <c r="C56" s="45" t="s">
        <v>208</v>
      </c>
      <c r="D56" s="83" t="s">
        <v>490</v>
      </c>
    </row>
    <row r="57" spans="1:5" ht="82.8" customHeight="1">
      <c r="A57" s="43" t="s">
        <v>485</v>
      </c>
      <c r="B57" s="44" t="s">
        <v>486</v>
      </c>
      <c r="C57" s="45" t="s">
        <v>231</v>
      </c>
      <c r="D57" s="83" t="s">
        <v>491</v>
      </c>
    </row>
    <row r="58" spans="1:5" ht="110.4" customHeight="1">
      <c r="A58" s="43" t="s">
        <v>485</v>
      </c>
      <c r="B58" s="44" t="s">
        <v>486</v>
      </c>
      <c r="C58" s="45" t="s">
        <v>286</v>
      </c>
      <c r="D58" s="83" t="s">
        <v>492</v>
      </c>
    </row>
    <row r="59" spans="1:5" ht="82.8" customHeight="1">
      <c r="A59" s="43" t="s">
        <v>485</v>
      </c>
      <c r="B59" s="44" t="s">
        <v>486</v>
      </c>
      <c r="C59" s="45" t="s">
        <v>332</v>
      </c>
      <c r="D59" s="83" t="s">
        <v>493</v>
      </c>
    </row>
    <row r="60" spans="1:5" ht="82.8" customHeight="1">
      <c r="A60" s="43" t="s">
        <v>485</v>
      </c>
      <c r="B60" s="44" t="s">
        <v>486</v>
      </c>
      <c r="C60" s="45" t="s">
        <v>407</v>
      </c>
      <c r="D60" s="83" t="s">
        <v>494</v>
      </c>
    </row>
    <row r="61" spans="1:5" ht="82.8" customHeight="1">
      <c r="A61" s="43" t="s">
        <v>485</v>
      </c>
      <c r="B61" s="44" t="s">
        <v>486</v>
      </c>
      <c r="C61" s="45" t="s">
        <v>487</v>
      </c>
      <c r="D61" s="83" t="s">
        <v>488</v>
      </c>
    </row>
    <row r="62" spans="1:5" ht="82.8" customHeight="1">
      <c r="A62" s="43" t="s">
        <v>485</v>
      </c>
      <c r="B62" s="44" t="s">
        <v>486</v>
      </c>
      <c r="C62" s="45" t="s">
        <v>196</v>
      </c>
      <c r="D62" s="83" t="s">
        <v>489</v>
      </c>
    </row>
    <row r="63" spans="1:5" ht="165.6" customHeight="1">
      <c r="A63" s="43" t="s">
        <v>495</v>
      </c>
      <c r="B63" s="44" t="s">
        <v>496</v>
      </c>
      <c r="C63" s="45" t="s">
        <v>208</v>
      </c>
      <c r="D63" s="83" t="s">
        <v>490</v>
      </c>
    </row>
    <row r="64" spans="1:5" ht="82.8" customHeight="1">
      <c r="A64" s="43" t="s">
        <v>495</v>
      </c>
      <c r="B64" s="44" t="s">
        <v>496</v>
      </c>
      <c r="C64" s="45" t="s">
        <v>231</v>
      </c>
      <c r="D64" s="83" t="s">
        <v>491</v>
      </c>
    </row>
    <row r="65" spans="1:4" ht="110.4" customHeight="1">
      <c r="A65" s="43" t="s">
        <v>495</v>
      </c>
      <c r="B65" s="44" t="s">
        <v>496</v>
      </c>
      <c r="C65" s="45" t="s">
        <v>286</v>
      </c>
      <c r="D65" s="83" t="s">
        <v>492</v>
      </c>
    </row>
    <row r="66" spans="1:4" ht="82.8" customHeight="1">
      <c r="A66" s="43" t="s">
        <v>495</v>
      </c>
      <c r="B66" s="44" t="s">
        <v>496</v>
      </c>
      <c r="C66" s="45" t="s">
        <v>332</v>
      </c>
      <c r="D66" s="83" t="s">
        <v>493</v>
      </c>
    </row>
    <row r="67" spans="1:4" ht="82.8" customHeight="1">
      <c r="A67" s="43" t="s">
        <v>495</v>
      </c>
      <c r="B67" s="44" t="s">
        <v>496</v>
      </c>
      <c r="C67" s="45" t="s">
        <v>407</v>
      </c>
      <c r="D67" s="83" t="s">
        <v>494</v>
      </c>
    </row>
    <row r="68" spans="1:4" ht="82.8" customHeight="1">
      <c r="A68" s="43" t="s">
        <v>495</v>
      </c>
      <c r="B68" s="44" t="s">
        <v>496</v>
      </c>
      <c r="C68" s="45" t="s">
        <v>487</v>
      </c>
      <c r="D68" s="83" t="s">
        <v>488</v>
      </c>
    </row>
    <row r="69" spans="1:4" ht="82.8" customHeight="1">
      <c r="A69" s="43" t="s">
        <v>495</v>
      </c>
      <c r="B69" s="44" t="s">
        <v>496</v>
      </c>
      <c r="C69" s="45" t="s">
        <v>196</v>
      </c>
      <c r="D69" s="83" t="s">
        <v>489</v>
      </c>
    </row>
    <row r="70" spans="1:4" ht="165.6" customHeight="1">
      <c r="A70" s="43" t="s">
        <v>495</v>
      </c>
      <c r="B70" s="44" t="s">
        <v>496</v>
      </c>
      <c r="C70" s="45" t="s">
        <v>208</v>
      </c>
      <c r="D70" s="83" t="s">
        <v>490</v>
      </c>
    </row>
    <row r="71" spans="1:4" ht="82.8" customHeight="1">
      <c r="A71" s="43" t="s">
        <v>495</v>
      </c>
      <c r="B71" s="44" t="s">
        <v>496</v>
      </c>
      <c r="C71" s="45" t="s">
        <v>231</v>
      </c>
      <c r="D71" s="83" t="s">
        <v>491</v>
      </c>
    </row>
    <row r="72" spans="1:4" ht="110.4" customHeight="1">
      <c r="A72" s="43" t="s">
        <v>495</v>
      </c>
      <c r="B72" s="44" t="s">
        <v>496</v>
      </c>
      <c r="C72" s="45" t="s">
        <v>286</v>
      </c>
      <c r="D72" s="83" t="s">
        <v>492</v>
      </c>
    </row>
    <row r="73" spans="1:4" ht="82.8" customHeight="1">
      <c r="A73" s="43" t="s">
        <v>495</v>
      </c>
      <c r="B73" s="44" t="s">
        <v>496</v>
      </c>
      <c r="C73" s="45" t="s">
        <v>332</v>
      </c>
      <c r="D73" s="83" t="s">
        <v>493</v>
      </c>
    </row>
    <row r="74" spans="1:4" ht="82.8" customHeight="1">
      <c r="A74" s="43" t="s">
        <v>495</v>
      </c>
      <c r="B74" s="44" t="s">
        <v>496</v>
      </c>
      <c r="C74" s="45" t="s">
        <v>407</v>
      </c>
      <c r="D74" s="83" t="s">
        <v>494</v>
      </c>
    </row>
    <row r="75" spans="1:4" ht="82.8" customHeight="1">
      <c r="A75" s="43" t="s">
        <v>495</v>
      </c>
      <c r="B75" s="44" t="s">
        <v>496</v>
      </c>
      <c r="C75" s="45" t="s">
        <v>487</v>
      </c>
      <c r="D75" s="83" t="s">
        <v>488</v>
      </c>
    </row>
    <row r="76" spans="1:4" ht="82.8" customHeight="1">
      <c r="A76" s="43" t="s">
        <v>495</v>
      </c>
      <c r="B76" s="44" t="s">
        <v>496</v>
      </c>
      <c r="C76" s="45" t="s">
        <v>196</v>
      </c>
      <c r="D76" s="83" t="s">
        <v>489</v>
      </c>
    </row>
    <row r="77" spans="1:4" ht="165.6" customHeight="1">
      <c r="A77" s="43" t="s">
        <v>495</v>
      </c>
      <c r="B77" s="44" t="s">
        <v>496</v>
      </c>
      <c r="C77" s="45" t="s">
        <v>208</v>
      </c>
      <c r="D77" s="83" t="s">
        <v>490</v>
      </c>
    </row>
    <row r="78" spans="1:4" ht="82.8" customHeight="1">
      <c r="A78" s="43" t="s">
        <v>495</v>
      </c>
      <c r="B78" s="44" t="s">
        <v>496</v>
      </c>
      <c r="C78" s="45" t="s">
        <v>231</v>
      </c>
      <c r="D78" s="83" t="s">
        <v>491</v>
      </c>
    </row>
    <row r="79" spans="1:4" ht="110.4" customHeight="1">
      <c r="A79" s="43" t="s">
        <v>495</v>
      </c>
      <c r="B79" s="44" t="s">
        <v>496</v>
      </c>
      <c r="C79" s="45" t="s">
        <v>286</v>
      </c>
      <c r="D79" s="83" t="s">
        <v>492</v>
      </c>
    </row>
    <row r="80" spans="1:4" ht="82.8" customHeight="1">
      <c r="A80" s="43" t="s">
        <v>495</v>
      </c>
      <c r="B80" s="44" t="s">
        <v>496</v>
      </c>
      <c r="C80" s="45" t="s">
        <v>332</v>
      </c>
      <c r="D80" s="83" t="s">
        <v>493</v>
      </c>
    </row>
    <row r="81" spans="1:4" ht="82.8" customHeight="1">
      <c r="A81" s="43" t="s">
        <v>495</v>
      </c>
      <c r="B81" s="44" t="s">
        <v>496</v>
      </c>
      <c r="C81" s="45" t="s">
        <v>407</v>
      </c>
      <c r="D81" s="83" t="s">
        <v>494</v>
      </c>
    </row>
    <row r="82" spans="1:4" ht="82.8" customHeight="1">
      <c r="A82" s="43" t="s">
        <v>495</v>
      </c>
      <c r="B82" s="44" t="s">
        <v>496</v>
      </c>
      <c r="C82" s="45" t="s">
        <v>487</v>
      </c>
      <c r="D82" s="83" t="s">
        <v>488</v>
      </c>
    </row>
    <row r="83" spans="1:4" ht="82.8" customHeight="1">
      <c r="A83" s="43" t="s">
        <v>495</v>
      </c>
      <c r="B83" s="44" t="s">
        <v>496</v>
      </c>
      <c r="C83" s="45" t="s">
        <v>196</v>
      </c>
      <c r="D83" s="83" t="s">
        <v>489</v>
      </c>
    </row>
    <row r="84" spans="1:4" ht="165.6">
      <c r="A84" s="43" t="s">
        <v>495</v>
      </c>
      <c r="B84" s="44" t="s">
        <v>496</v>
      </c>
      <c r="C84" s="45" t="s">
        <v>208</v>
      </c>
      <c r="D84" s="83" t="s">
        <v>490</v>
      </c>
    </row>
    <row r="85" spans="1:4" ht="82.8">
      <c r="A85" s="43" t="s">
        <v>495</v>
      </c>
      <c r="B85" s="44" t="s">
        <v>496</v>
      </c>
      <c r="C85" s="45" t="s">
        <v>231</v>
      </c>
      <c r="D85" s="83" t="s">
        <v>491</v>
      </c>
    </row>
    <row r="86" spans="1:4" ht="110.4">
      <c r="A86" s="43" t="s">
        <v>495</v>
      </c>
      <c r="B86" s="44" t="s">
        <v>496</v>
      </c>
      <c r="C86" s="45" t="s">
        <v>286</v>
      </c>
      <c r="D86" s="83" t="s">
        <v>492</v>
      </c>
    </row>
    <row r="87" spans="1:4" ht="82.8">
      <c r="A87" s="43" t="s">
        <v>495</v>
      </c>
      <c r="B87" s="44" t="s">
        <v>496</v>
      </c>
      <c r="C87" s="45" t="s">
        <v>332</v>
      </c>
      <c r="D87" s="83" t="s">
        <v>493</v>
      </c>
    </row>
    <row r="88" spans="1:4" ht="82.8">
      <c r="A88" s="43" t="s">
        <v>495</v>
      </c>
      <c r="B88" s="44" t="s">
        <v>496</v>
      </c>
      <c r="C88" s="45" t="s">
        <v>407</v>
      </c>
      <c r="D88" s="83" t="s">
        <v>494</v>
      </c>
    </row>
    <row r="89" spans="1:4" ht="82.8">
      <c r="A89" s="43" t="s">
        <v>495</v>
      </c>
      <c r="B89" s="44" t="s">
        <v>496</v>
      </c>
      <c r="C89" s="45" t="s">
        <v>487</v>
      </c>
      <c r="D89" s="83" t="s">
        <v>488</v>
      </c>
    </row>
    <row r="90" spans="1:4" ht="82.8">
      <c r="A90" s="43" t="s">
        <v>495</v>
      </c>
      <c r="B90" s="44" t="s">
        <v>496</v>
      </c>
      <c r="C90" s="45" t="s">
        <v>196</v>
      </c>
      <c r="D90" s="83" t="s">
        <v>489</v>
      </c>
    </row>
    <row r="91" spans="1:4">
      <c r="A91" s="43"/>
      <c r="B91" s="44"/>
      <c r="C91" s="45"/>
      <c r="D91" s="83"/>
    </row>
    <row r="92" spans="1:4">
      <c r="A92" s="43"/>
      <c r="B92" s="44"/>
      <c r="C92" s="45"/>
      <c r="D92" s="83"/>
    </row>
    <row r="93" spans="1:4">
      <c r="A93" s="43"/>
      <c r="B93" s="44"/>
      <c r="C93" s="45"/>
      <c r="D93" s="83"/>
    </row>
    <row r="94" spans="1:4">
      <c r="A94" s="43"/>
      <c r="B94" s="44"/>
      <c r="C94" s="45"/>
      <c r="D94" s="83"/>
    </row>
    <row r="95" spans="1:4">
      <c r="A95" s="43"/>
      <c r="B95" s="44"/>
      <c r="C95" s="45"/>
      <c r="D95" s="83"/>
    </row>
    <row r="96" spans="1:4">
      <c r="A96" s="43"/>
      <c r="B96" s="44"/>
      <c r="C96" s="45"/>
      <c r="D96" s="83"/>
    </row>
    <row r="97" spans="1:4">
      <c r="A97" s="43"/>
      <c r="B97" s="44"/>
      <c r="C97" s="45"/>
      <c r="D97" s="83"/>
    </row>
    <row r="98" spans="1:4">
      <c r="A98" s="43"/>
      <c r="B98" s="44"/>
      <c r="C98" s="45"/>
      <c r="D98" s="83"/>
    </row>
    <row r="99" spans="1:4">
      <c r="A99" s="43"/>
      <c r="B99" s="44"/>
      <c r="C99" s="45"/>
      <c r="D99" s="83"/>
    </row>
    <row r="100" spans="1:4">
      <c r="A100" s="43"/>
      <c r="B100" s="44"/>
      <c r="C100" s="45"/>
      <c r="D100" s="83"/>
    </row>
    <row r="101" spans="1:4">
      <c r="A101" s="43"/>
      <c r="B101" s="44"/>
      <c r="C101" s="45"/>
      <c r="D101" s="83"/>
    </row>
    <row r="102" spans="1:4">
      <c r="A102" s="43"/>
      <c r="B102" s="44"/>
      <c r="C102" s="45"/>
      <c r="D102" s="83"/>
    </row>
    <row r="103" spans="1:4">
      <c r="A103" s="43"/>
      <c r="B103" s="44"/>
      <c r="C103" s="45"/>
      <c r="D103" s="83"/>
    </row>
    <row r="104" spans="1:4">
      <c r="A104" s="43"/>
      <c r="B104" s="44"/>
      <c r="C104" s="45"/>
      <c r="D104" s="83"/>
    </row>
    <row r="105" spans="1:4">
      <c r="A105" s="43"/>
      <c r="B105" s="44"/>
      <c r="C105" s="45"/>
      <c r="D105" s="83"/>
    </row>
    <row r="106" spans="1:4">
      <c r="A106" s="43"/>
      <c r="B106" s="44"/>
      <c r="C106" s="45"/>
      <c r="D106" s="83"/>
    </row>
    <row r="107" spans="1:4">
      <c r="A107" s="43"/>
      <c r="B107" s="44"/>
      <c r="C107" s="45"/>
      <c r="D107" s="83"/>
    </row>
    <row r="108" spans="1:4">
      <c r="A108" s="43"/>
      <c r="B108" s="44"/>
      <c r="C108" s="45"/>
      <c r="D108" s="83"/>
    </row>
    <row r="109" spans="1:4">
      <c r="A109" s="43"/>
      <c r="B109" s="44"/>
      <c r="C109" s="45"/>
      <c r="D109" s="83"/>
    </row>
    <row r="110" spans="1:4">
      <c r="A110" s="43"/>
      <c r="B110" s="44"/>
      <c r="C110" s="45"/>
      <c r="D110" s="83"/>
    </row>
    <row r="111" spans="1:4">
      <c r="A111" s="43"/>
      <c r="B111" s="44"/>
      <c r="C111" s="45"/>
      <c r="D111" s="83"/>
    </row>
    <row r="112" spans="1:4">
      <c r="A112" s="43"/>
      <c r="B112" s="44"/>
      <c r="C112" s="45"/>
      <c r="D112" s="83"/>
    </row>
    <row r="113" spans="1:4">
      <c r="A113" s="43"/>
      <c r="B113" s="44"/>
      <c r="C113" s="45"/>
      <c r="D113" s="83"/>
    </row>
    <row r="114" spans="1:4">
      <c r="A114" s="43"/>
      <c r="B114" s="44"/>
      <c r="C114" s="45"/>
      <c r="D114" s="83"/>
    </row>
    <row r="115" spans="1:4">
      <c r="A115" s="43"/>
      <c r="B115" s="44"/>
      <c r="C115" s="45"/>
      <c r="D115" s="83"/>
    </row>
    <row r="116" spans="1:4">
      <c r="A116" s="43"/>
      <c r="B116" s="44"/>
      <c r="C116" s="45"/>
      <c r="D116" s="83"/>
    </row>
    <row r="117" spans="1:4">
      <c r="A117" s="43"/>
      <c r="B117" s="44"/>
      <c r="C117" s="45"/>
      <c r="D117" s="83"/>
    </row>
    <row r="118" spans="1:4">
      <c r="A118" s="43"/>
      <c r="B118" s="44"/>
      <c r="C118" s="45"/>
      <c r="D118" s="83"/>
    </row>
    <row r="119" spans="1:4">
      <c r="A119" s="43"/>
      <c r="B119" s="44"/>
      <c r="C119" s="45"/>
      <c r="D119" s="83"/>
    </row>
    <row r="120" spans="1:4">
      <c r="A120" s="43"/>
      <c r="B120" s="44"/>
      <c r="C120" s="45"/>
      <c r="D120" s="83"/>
    </row>
    <row r="121" spans="1:4">
      <c r="A121" s="43"/>
      <c r="B121" s="44"/>
      <c r="C121" s="45"/>
      <c r="D121" s="83"/>
    </row>
    <row r="122" spans="1:4">
      <c r="A122" s="43"/>
      <c r="B122" s="44"/>
      <c r="C122" s="45"/>
      <c r="D122" s="83"/>
    </row>
    <row r="123" spans="1:4">
      <c r="A123" s="43"/>
      <c r="B123" s="44"/>
      <c r="C123" s="45"/>
      <c r="D123" s="83"/>
    </row>
    <row r="124" spans="1:4">
      <c r="A124" s="43"/>
      <c r="B124" s="44"/>
      <c r="C124" s="45"/>
      <c r="D124" s="83"/>
    </row>
    <row r="125" spans="1:4">
      <c r="A125" s="43"/>
      <c r="B125" s="44"/>
      <c r="C125" s="45"/>
      <c r="D125" s="83"/>
    </row>
    <row r="126" spans="1:4">
      <c r="A126" s="43"/>
      <c r="B126" s="44"/>
      <c r="C126" s="45"/>
      <c r="D126" s="83"/>
    </row>
    <row r="127" spans="1:4">
      <c r="A127" s="43"/>
      <c r="B127" s="44"/>
      <c r="C127" s="45"/>
      <c r="D127" s="83"/>
    </row>
    <row r="128" spans="1:4">
      <c r="A128" s="43"/>
      <c r="B128" s="44"/>
      <c r="C128" s="45"/>
      <c r="D128" s="83"/>
    </row>
    <row r="129" spans="1:4">
      <c r="A129" s="43"/>
      <c r="B129" s="44"/>
      <c r="C129" s="45"/>
      <c r="D129" s="83"/>
    </row>
    <row r="130" spans="1:4">
      <c r="A130" s="43"/>
      <c r="B130" s="44"/>
      <c r="C130" s="45"/>
      <c r="D130" s="83"/>
    </row>
    <row r="131" spans="1:4">
      <c r="A131" s="43"/>
      <c r="B131" s="44"/>
      <c r="C131" s="45"/>
      <c r="D131" s="83"/>
    </row>
    <row r="132" spans="1:4">
      <c r="A132" s="43"/>
      <c r="B132" s="44"/>
      <c r="C132" s="45"/>
      <c r="D132" s="83"/>
    </row>
    <row r="133" spans="1:4">
      <c r="A133" s="43"/>
      <c r="B133" s="44"/>
      <c r="C133" s="45"/>
      <c r="D133" s="83"/>
    </row>
    <row r="134" spans="1:4">
      <c r="A134" s="43"/>
      <c r="B134" s="44"/>
      <c r="C134" s="45"/>
      <c r="D134" s="83"/>
    </row>
    <row r="135" spans="1:4">
      <c r="A135" s="43"/>
      <c r="B135" s="44"/>
      <c r="C135" s="45"/>
      <c r="D135" s="83"/>
    </row>
    <row r="136" spans="1:4">
      <c r="A136" s="43"/>
      <c r="B136" s="44"/>
      <c r="C136" s="45"/>
      <c r="D136" s="83"/>
    </row>
    <row r="137" spans="1:4">
      <c r="A137" s="43"/>
      <c r="B137" s="44"/>
      <c r="C137" s="45"/>
      <c r="D137" s="83"/>
    </row>
    <row r="138" spans="1:4">
      <c r="A138" s="43"/>
      <c r="B138" s="44"/>
      <c r="C138" s="45"/>
      <c r="D138" s="83"/>
    </row>
    <row r="139" spans="1:4">
      <c r="A139" s="43"/>
      <c r="B139" s="44"/>
      <c r="C139" s="45"/>
      <c r="D139" s="83"/>
    </row>
    <row r="140" spans="1:4">
      <c r="A140" s="43"/>
      <c r="B140" s="44"/>
      <c r="C140" s="45"/>
      <c r="D140" s="83"/>
    </row>
    <row r="141" spans="1:4">
      <c r="A141" s="43"/>
      <c r="B141" s="44"/>
      <c r="C141" s="45"/>
      <c r="D141" s="83"/>
    </row>
    <row r="142" spans="1:4">
      <c r="A142" s="43"/>
      <c r="B142" s="44"/>
      <c r="C142" s="45"/>
      <c r="D142" s="83"/>
    </row>
    <row r="143" spans="1:4">
      <c r="A143" s="43"/>
      <c r="B143" s="44"/>
      <c r="C143" s="45"/>
      <c r="D143" s="83"/>
    </row>
    <row r="144" spans="1:4">
      <c r="A144" s="43"/>
      <c r="B144" s="44"/>
      <c r="C144" s="45"/>
      <c r="D144" s="83"/>
    </row>
    <row r="145" spans="1:4">
      <c r="A145" s="43"/>
      <c r="B145" s="44"/>
      <c r="C145" s="45"/>
      <c r="D145" s="83"/>
    </row>
    <row r="146" spans="1:4">
      <c r="A146" s="43"/>
      <c r="B146" s="44"/>
      <c r="C146" s="45"/>
      <c r="D146" s="83"/>
    </row>
    <row r="147" spans="1:4">
      <c r="A147" s="43"/>
      <c r="B147" s="44"/>
      <c r="C147" s="45"/>
      <c r="D147" s="83"/>
    </row>
    <row r="148" spans="1:4">
      <c r="A148" s="43"/>
      <c r="B148" s="44"/>
      <c r="C148" s="45"/>
      <c r="D148" s="83"/>
    </row>
    <row r="149" spans="1:4">
      <c r="A149" s="43"/>
      <c r="B149" s="44"/>
      <c r="C149" s="45"/>
      <c r="D149" s="83"/>
    </row>
    <row r="150" spans="1:4">
      <c r="A150" s="43"/>
      <c r="B150" s="44"/>
      <c r="C150" s="45"/>
      <c r="D150" s="83"/>
    </row>
    <row r="151" spans="1:4">
      <c r="A151" s="43"/>
      <c r="B151" s="44"/>
      <c r="C151" s="45"/>
      <c r="D151" s="83"/>
    </row>
    <row r="152" spans="1:4">
      <c r="A152" s="43"/>
      <c r="B152" s="44"/>
      <c r="C152" s="45"/>
      <c r="D152" s="83"/>
    </row>
    <row r="153" spans="1:4">
      <c r="A153" s="43"/>
      <c r="B153" s="44"/>
      <c r="C153" s="45"/>
      <c r="D153" s="83"/>
    </row>
    <row r="154" spans="1:4">
      <c r="A154" s="43"/>
      <c r="B154" s="44"/>
      <c r="C154" s="45"/>
      <c r="D154" s="83"/>
    </row>
    <row r="155" spans="1:4">
      <c r="A155" s="43"/>
      <c r="B155" s="44"/>
      <c r="C155" s="45"/>
      <c r="D155" s="83"/>
    </row>
    <row r="156" spans="1:4">
      <c r="A156" s="43"/>
      <c r="B156" s="44"/>
      <c r="C156" s="45"/>
      <c r="D156" s="83"/>
    </row>
    <row r="157" spans="1:4">
      <c r="A157" s="43"/>
      <c r="B157" s="44"/>
      <c r="C157" s="45"/>
      <c r="D157" s="83"/>
    </row>
    <row r="158" spans="1:4">
      <c r="A158" s="43"/>
      <c r="B158" s="44"/>
      <c r="C158" s="45"/>
      <c r="D158" s="83"/>
    </row>
    <row r="159" spans="1:4">
      <c r="A159" s="43"/>
      <c r="B159" s="44"/>
      <c r="C159" s="45"/>
      <c r="D159" s="83"/>
    </row>
    <row r="160" spans="1:4">
      <c r="A160" s="43"/>
      <c r="B160" s="44"/>
      <c r="C160" s="45"/>
      <c r="D160" s="83"/>
    </row>
    <row r="161" spans="1:4">
      <c r="A161" s="43"/>
      <c r="B161" s="44"/>
      <c r="C161" s="45"/>
      <c r="D161" s="83"/>
    </row>
    <row r="162" spans="1:4">
      <c r="A162" s="43"/>
      <c r="B162" s="44"/>
      <c r="C162" s="45"/>
      <c r="D162" s="83"/>
    </row>
    <row r="163" spans="1:4">
      <c r="A163" s="43"/>
      <c r="B163" s="44"/>
      <c r="C163" s="45"/>
      <c r="D163" s="83"/>
    </row>
    <row r="164" spans="1:4">
      <c r="A164" s="43"/>
      <c r="B164" s="44"/>
      <c r="C164" s="45"/>
      <c r="D164" s="83"/>
    </row>
    <row r="165" spans="1:4">
      <c r="A165" s="43"/>
      <c r="B165" s="44"/>
      <c r="C165" s="45"/>
      <c r="D165" s="83"/>
    </row>
    <row r="166" spans="1:4">
      <c r="A166" s="43"/>
      <c r="B166" s="44"/>
      <c r="C166" s="45"/>
      <c r="D166" s="83"/>
    </row>
    <row r="167" spans="1:4">
      <c r="A167" s="43"/>
      <c r="B167" s="44"/>
      <c r="C167" s="45"/>
      <c r="D167" s="83"/>
    </row>
    <row r="168" spans="1:4">
      <c r="A168" s="43"/>
      <c r="B168" s="44"/>
      <c r="C168" s="45"/>
      <c r="D168" s="83"/>
    </row>
    <row r="169" spans="1:4">
      <c r="A169" s="43"/>
      <c r="B169" s="44"/>
      <c r="C169" s="45"/>
      <c r="D169" s="83"/>
    </row>
    <row r="170" spans="1:4">
      <c r="A170" s="43"/>
      <c r="B170" s="44"/>
      <c r="C170" s="45"/>
      <c r="D170" s="83"/>
    </row>
    <row r="171" spans="1:4">
      <c r="A171" s="43"/>
      <c r="B171" s="44"/>
      <c r="C171" s="45"/>
      <c r="D171" s="83"/>
    </row>
    <row r="172" spans="1:4">
      <c r="A172" s="43"/>
      <c r="B172" s="44"/>
      <c r="C172" s="45"/>
      <c r="D172" s="83"/>
    </row>
    <row r="173" spans="1:4">
      <c r="A173" s="43"/>
      <c r="B173" s="44"/>
      <c r="C173" s="45"/>
      <c r="D173" s="83"/>
    </row>
    <row r="174" spans="1:4">
      <c r="A174" s="43"/>
      <c r="B174" s="44"/>
      <c r="C174" s="45"/>
      <c r="D174" s="83"/>
    </row>
    <row r="175" spans="1:4">
      <c r="A175" s="43"/>
      <c r="B175" s="44"/>
      <c r="C175" s="45"/>
      <c r="D175" s="83"/>
    </row>
    <row r="176" spans="1:4">
      <c r="A176" s="43"/>
      <c r="B176" s="44"/>
      <c r="C176" s="45"/>
      <c r="D176" s="83"/>
    </row>
    <row r="177" spans="1:4">
      <c r="A177" s="43"/>
      <c r="B177" s="44"/>
      <c r="C177" s="45"/>
      <c r="D177" s="83"/>
    </row>
    <row r="178" spans="1:4">
      <c r="A178" s="43"/>
      <c r="B178" s="44"/>
      <c r="C178" s="45"/>
      <c r="D178" s="83"/>
    </row>
    <row r="179" spans="1:4">
      <c r="A179" s="43"/>
      <c r="B179" s="44"/>
      <c r="C179" s="45"/>
      <c r="D179" s="83"/>
    </row>
    <row r="180" spans="1:4">
      <c r="A180" s="43"/>
      <c r="B180" s="44"/>
      <c r="C180" s="45"/>
      <c r="D180" s="83"/>
    </row>
    <row r="181" spans="1:4">
      <c r="A181" s="43"/>
      <c r="B181" s="44"/>
      <c r="C181" s="45"/>
      <c r="D181" s="83"/>
    </row>
    <row r="182" spans="1:4">
      <c r="A182" s="43"/>
      <c r="B182" s="44"/>
      <c r="C182" s="45"/>
      <c r="D182" s="83"/>
    </row>
    <row r="183" spans="1:4">
      <c r="A183" s="43"/>
      <c r="B183" s="44"/>
      <c r="C183" s="45"/>
      <c r="D183" s="83"/>
    </row>
    <row r="184" spans="1:4">
      <c r="A184" s="43"/>
      <c r="B184" s="44"/>
      <c r="C184" s="45"/>
      <c r="D184" s="83"/>
    </row>
    <row r="185" spans="1:4">
      <c r="A185" s="43"/>
      <c r="B185" s="44"/>
      <c r="C185" s="45"/>
      <c r="D185" s="83"/>
    </row>
    <row r="186" spans="1:4">
      <c r="A186" s="43"/>
      <c r="B186" s="44"/>
      <c r="C186" s="45"/>
      <c r="D186" s="83"/>
    </row>
    <row r="187" spans="1:4">
      <c r="A187" s="43"/>
      <c r="B187" s="44"/>
      <c r="C187" s="45"/>
      <c r="D187" s="83"/>
    </row>
    <row r="188" spans="1:4">
      <c r="A188" s="43"/>
      <c r="B188" s="44"/>
      <c r="C188" s="45"/>
      <c r="D188" s="83"/>
    </row>
    <row r="189" spans="1:4">
      <c r="A189" s="43"/>
      <c r="B189" s="44"/>
      <c r="C189" s="45"/>
      <c r="D189" s="83"/>
    </row>
    <row r="190" spans="1:4">
      <c r="A190" s="43"/>
      <c r="B190" s="44"/>
      <c r="C190" s="45"/>
      <c r="D190" s="83"/>
    </row>
    <row r="191" spans="1:4">
      <c r="A191" s="43"/>
      <c r="B191" s="44"/>
      <c r="C191" s="45"/>
      <c r="D191" s="83"/>
    </row>
    <row r="192" spans="1:4">
      <c r="A192" s="43"/>
      <c r="B192" s="44"/>
      <c r="C192" s="45"/>
      <c r="D192" s="83"/>
    </row>
    <row r="193" spans="1:4">
      <c r="A193" s="43"/>
      <c r="B193" s="44"/>
      <c r="C193" s="45"/>
      <c r="D193" s="83"/>
    </row>
    <row r="194" spans="1:4">
      <c r="A194" s="43"/>
      <c r="B194" s="44"/>
      <c r="C194" s="45"/>
      <c r="D194" s="83"/>
    </row>
    <row r="195" spans="1:4">
      <c r="A195" s="43"/>
      <c r="B195" s="44"/>
      <c r="C195" s="45"/>
      <c r="D195" s="83"/>
    </row>
    <row r="196" spans="1:4">
      <c r="A196" s="43"/>
      <c r="B196" s="44"/>
      <c r="C196" s="45"/>
      <c r="D196" s="83"/>
    </row>
    <row r="197" spans="1:4">
      <c r="A197" s="43"/>
      <c r="B197" s="44"/>
      <c r="C197" s="45"/>
      <c r="D197" s="83"/>
    </row>
    <row r="198" spans="1:4">
      <c r="A198" s="43"/>
      <c r="B198" s="44"/>
      <c r="C198" s="45"/>
      <c r="D198" s="83"/>
    </row>
    <row r="199" spans="1:4">
      <c r="A199" s="43"/>
      <c r="B199" s="44"/>
      <c r="C199" s="45"/>
      <c r="D199" s="83"/>
    </row>
    <row r="200" spans="1:4">
      <c r="A200" s="43"/>
      <c r="B200" s="44"/>
      <c r="C200" s="45"/>
      <c r="D200" s="83"/>
    </row>
    <row r="201" spans="1:4">
      <c r="A201" s="43"/>
      <c r="B201" s="44"/>
      <c r="C201" s="45"/>
      <c r="D201" s="83"/>
    </row>
    <row r="202" spans="1:4">
      <c r="A202" s="43"/>
      <c r="B202" s="44"/>
      <c r="C202" s="45"/>
      <c r="D202" s="83"/>
    </row>
    <row r="203" spans="1:4">
      <c r="A203" s="43"/>
      <c r="B203" s="44"/>
      <c r="C203" s="45"/>
      <c r="D203" s="83"/>
    </row>
    <row r="204" spans="1:4">
      <c r="A204" s="43"/>
      <c r="B204" s="44"/>
      <c r="C204" s="45"/>
      <c r="D204" s="83"/>
    </row>
    <row r="205" spans="1:4">
      <c r="A205" s="43"/>
      <c r="B205" s="44"/>
      <c r="C205" s="45"/>
      <c r="D205" s="83"/>
    </row>
    <row r="206" spans="1:4">
      <c r="A206" s="43"/>
      <c r="B206" s="44"/>
      <c r="C206" s="45"/>
      <c r="D206" s="83"/>
    </row>
    <row r="207" spans="1:4">
      <c r="A207" s="43"/>
      <c r="B207" s="44"/>
      <c r="C207" s="45"/>
      <c r="D207" s="83"/>
    </row>
    <row r="208" spans="1:4">
      <c r="A208" s="43"/>
      <c r="B208" s="44"/>
      <c r="C208" s="45"/>
      <c r="D208" s="83"/>
    </row>
    <row r="209" spans="1:4">
      <c r="A209" s="43"/>
      <c r="B209" s="44"/>
      <c r="C209" s="45"/>
      <c r="D209" s="83"/>
    </row>
    <row r="210" spans="1:4">
      <c r="A210" s="43"/>
      <c r="B210" s="44"/>
      <c r="C210" s="45"/>
      <c r="D210" s="83"/>
    </row>
    <row r="211" spans="1:4">
      <c r="A211" s="43"/>
      <c r="B211" s="44"/>
      <c r="C211" s="45"/>
      <c r="D211" s="83"/>
    </row>
    <row r="212" spans="1:4">
      <c r="A212" s="43"/>
      <c r="B212" s="44"/>
      <c r="C212" s="45"/>
      <c r="D212" s="83"/>
    </row>
    <row r="213" spans="1:4">
      <c r="A213" s="43"/>
      <c r="B213" s="44"/>
      <c r="C213" s="45"/>
      <c r="D213" s="83"/>
    </row>
    <row r="214" spans="1:4">
      <c r="A214" s="43"/>
      <c r="B214" s="44"/>
      <c r="C214" s="45"/>
      <c r="D214" s="83"/>
    </row>
    <row r="215" spans="1:4">
      <c r="A215" s="43"/>
      <c r="B215" s="44"/>
      <c r="C215" s="45"/>
      <c r="D215" s="83"/>
    </row>
    <row r="216" spans="1:4">
      <c r="A216" s="43"/>
      <c r="B216" s="44"/>
      <c r="C216" s="45"/>
      <c r="D216" s="83"/>
    </row>
    <row r="217" spans="1:4">
      <c r="A217" s="43"/>
      <c r="B217" s="44"/>
      <c r="C217" s="45"/>
      <c r="D217" s="83"/>
    </row>
    <row r="218" spans="1:4">
      <c r="A218" s="43"/>
      <c r="B218" s="44"/>
      <c r="C218" s="45"/>
      <c r="D218" s="83"/>
    </row>
    <row r="219" spans="1:4">
      <c r="A219" s="43"/>
      <c r="B219" s="44"/>
      <c r="C219" s="45"/>
      <c r="D219" s="83"/>
    </row>
    <row r="220" spans="1:4">
      <c r="A220" s="43"/>
      <c r="B220" s="44"/>
      <c r="C220" s="45"/>
      <c r="D220" s="83"/>
    </row>
    <row r="221" spans="1:4">
      <c r="A221" s="43"/>
      <c r="B221" s="44"/>
      <c r="C221" s="45"/>
      <c r="D221" s="83"/>
    </row>
    <row r="222" spans="1:4">
      <c r="A222" s="43"/>
      <c r="B222" s="44"/>
      <c r="C222" s="45"/>
      <c r="D222" s="83"/>
    </row>
    <row r="223" spans="1:4">
      <c r="A223" s="43"/>
      <c r="B223" s="44"/>
      <c r="C223" s="45"/>
      <c r="D223" s="83"/>
    </row>
    <row r="224" spans="1:4">
      <c r="A224" s="46"/>
      <c r="B224" s="46"/>
      <c r="C224" s="46" t="s">
        <v>434</v>
      </c>
      <c r="D224" s="89" t="s">
        <v>434</v>
      </c>
    </row>
    <row r="225" spans="1:4" ht="82.8" customHeight="1">
      <c r="A225" t="s">
        <v>485</v>
      </c>
      <c r="B225" t="s">
        <v>486</v>
      </c>
      <c r="C225" t="s">
        <v>487</v>
      </c>
      <c r="D225" s="90" t="s">
        <v>488</v>
      </c>
    </row>
    <row r="226" spans="1:4" ht="82.8" customHeight="1">
      <c r="A226" t="s">
        <v>485</v>
      </c>
      <c r="B226" t="s">
        <v>486</v>
      </c>
      <c r="C226" t="s">
        <v>196</v>
      </c>
      <c r="D226" s="90" t="s">
        <v>489</v>
      </c>
    </row>
    <row r="227" spans="1:4" ht="82.8" customHeight="1">
      <c r="A227" t="s">
        <v>485</v>
      </c>
      <c r="B227" t="s">
        <v>486</v>
      </c>
      <c r="C227" t="s">
        <v>487</v>
      </c>
      <c r="D227" s="90" t="s">
        <v>488</v>
      </c>
    </row>
    <row r="228" spans="1:4" ht="82.8" customHeight="1">
      <c r="A228" t="s">
        <v>485</v>
      </c>
      <c r="B228" t="s">
        <v>486</v>
      </c>
      <c r="C228" t="s">
        <v>196</v>
      </c>
      <c r="D228" s="90" t="s">
        <v>489</v>
      </c>
    </row>
    <row r="229" spans="1:4" ht="82.8" customHeight="1">
      <c r="A229" t="s">
        <v>485</v>
      </c>
      <c r="B229" t="s">
        <v>486</v>
      </c>
      <c r="C229" t="s">
        <v>487</v>
      </c>
      <c r="D229" s="90" t="s">
        <v>488</v>
      </c>
    </row>
    <row r="230" spans="1:4" ht="82.8" customHeight="1">
      <c r="A230" t="s">
        <v>485</v>
      </c>
      <c r="B230" t="s">
        <v>486</v>
      </c>
      <c r="C230" t="s">
        <v>196</v>
      </c>
      <c r="D230" s="90" t="s">
        <v>489</v>
      </c>
    </row>
    <row r="231" spans="1:4" ht="69" customHeight="1">
      <c r="A231" t="s">
        <v>485</v>
      </c>
      <c r="B231" t="s">
        <v>486</v>
      </c>
      <c r="C231" t="s">
        <v>364</v>
      </c>
      <c r="D231" s="90" t="s">
        <v>497</v>
      </c>
    </row>
    <row r="232" spans="1:4" ht="69" customHeight="1">
      <c r="A232" t="s">
        <v>485</v>
      </c>
      <c r="B232" t="s">
        <v>486</v>
      </c>
      <c r="C232" t="s">
        <v>369</v>
      </c>
      <c r="D232" s="90" t="s">
        <v>497</v>
      </c>
    </row>
    <row r="233" spans="1:4" ht="69" customHeight="1">
      <c r="A233" t="s">
        <v>485</v>
      </c>
      <c r="B233" t="s">
        <v>486</v>
      </c>
      <c r="C233" t="s">
        <v>372</v>
      </c>
      <c r="D233" s="90" t="s">
        <v>497</v>
      </c>
    </row>
    <row r="234" spans="1:4" ht="69" customHeight="1">
      <c r="A234" t="s">
        <v>485</v>
      </c>
      <c r="B234" t="s">
        <v>486</v>
      </c>
      <c r="C234" t="s">
        <v>375</v>
      </c>
      <c r="D234" s="90" t="s">
        <v>497</v>
      </c>
    </row>
    <row r="235" spans="1:4" ht="69" customHeight="1">
      <c r="A235" t="s">
        <v>485</v>
      </c>
      <c r="B235" t="s">
        <v>486</v>
      </c>
      <c r="C235" t="s">
        <v>380</v>
      </c>
      <c r="D235" s="90" t="s">
        <v>497</v>
      </c>
    </row>
    <row r="236" spans="1:4" ht="82.8" customHeight="1">
      <c r="A236" t="s">
        <v>485</v>
      </c>
      <c r="B236" t="s">
        <v>486</v>
      </c>
      <c r="C236" t="s">
        <v>487</v>
      </c>
      <c r="D236" s="90" t="s">
        <v>488</v>
      </c>
    </row>
    <row r="237" spans="1:4" ht="82.8" customHeight="1">
      <c r="A237" t="s">
        <v>485</v>
      </c>
      <c r="B237" t="s">
        <v>486</v>
      </c>
      <c r="C237" t="s">
        <v>196</v>
      </c>
      <c r="D237" s="90" t="s">
        <v>489</v>
      </c>
    </row>
    <row r="238" spans="1:4" ht="82.8" customHeight="1">
      <c r="A238" t="s">
        <v>485</v>
      </c>
      <c r="B238" t="s">
        <v>486</v>
      </c>
      <c r="C238" t="s">
        <v>487</v>
      </c>
      <c r="D238" s="90" t="s">
        <v>488</v>
      </c>
    </row>
    <row r="239" spans="1:4" ht="82.8" customHeight="1">
      <c r="A239" t="s">
        <v>485</v>
      </c>
      <c r="B239" t="s">
        <v>486</v>
      </c>
      <c r="C239" t="s">
        <v>196</v>
      </c>
      <c r="D239" s="90" t="s">
        <v>489</v>
      </c>
    </row>
  </sheetData>
  <autoFilter ref="A2:D223"/>
  <mergeCells count="1">
    <mergeCell ref="A1:B1"/>
  </mergeCell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3"/>
  <sheetViews>
    <sheetView showGridLines="0" workbookViewId="0"/>
  </sheetViews>
  <sheetFormatPr defaultRowHeight="13.8"/>
  <cols>
    <col min="1" max="1" width="16.69921875" style="93" bestFit="1" customWidth="1"/>
    <col min="2" max="2" width="25.8984375" style="93" bestFit="1" customWidth="1"/>
    <col min="3" max="3" width="13.69921875" style="93" bestFit="1" customWidth="1"/>
    <col min="4" max="4" width="17.69921875" style="93" bestFit="1" customWidth="1"/>
    <col min="5" max="5" width="27.8984375" style="93" bestFit="1" customWidth="1"/>
    <col min="6" max="6" width="22.59765625" style="93" bestFit="1" customWidth="1"/>
    <col min="7" max="7" width="14" style="93" bestFit="1" customWidth="1"/>
    <col min="8" max="8" width="23.09765625" style="93" bestFit="1" customWidth="1"/>
    <col min="9" max="9" width="24.59765625" style="93" bestFit="1" customWidth="1"/>
    <col min="10" max="10" width="15.3984375" style="93" bestFit="1" customWidth="1"/>
    <col min="11" max="11" width="19.69921875" style="93" bestFit="1" customWidth="1"/>
    <col min="12" max="12" width="21.09765625" style="93" bestFit="1" customWidth="1"/>
    <col min="13" max="13" width="21.59765625" style="93" bestFit="1" customWidth="1"/>
    <col min="14" max="14" width="31.8984375" style="93" bestFit="1" customWidth="1"/>
    <col min="15" max="15" width="13.09765625" style="93" bestFit="1" customWidth="1"/>
    <col min="16" max="16" width="18.8984375" style="93" bestFit="1" customWidth="1"/>
  </cols>
  <sheetData>
    <row r="1" spans="1:16" ht="27.6" customHeight="1">
      <c r="A1" s="99" t="s">
        <v>498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1:16" ht="8.25" customHeight="1"/>
    <row r="3" spans="1:16" s="2" customFormat="1">
      <c r="A3" s="1" t="s">
        <v>499</v>
      </c>
      <c r="B3" s="3" t="s">
        <v>500</v>
      </c>
      <c r="C3" s="3" t="s">
        <v>501</v>
      </c>
      <c r="D3" s="3" t="s">
        <v>502</v>
      </c>
      <c r="E3" s="3" t="s">
        <v>503</v>
      </c>
      <c r="F3" s="3" t="s">
        <v>504</v>
      </c>
      <c r="G3" s="3" t="s">
        <v>505</v>
      </c>
      <c r="H3" s="3" t="s">
        <v>506</v>
      </c>
      <c r="I3" s="3" t="s">
        <v>507</v>
      </c>
      <c r="J3" s="18" t="s">
        <v>508</v>
      </c>
      <c r="K3" s="3" t="s">
        <v>509</v>
      </c>
      <c r="L3" s="3" t="s">
        <v>510</v>
      </c>
      <c r="M3" s="3" t="s">
        <v>511</v>
      </c>
      <c r="N3" s="3" t="s">
        <v>512</v>
      </c>
      <c r="O3" s="3" t="s">
        <v>513</v>
      </c>
      <c r="P3" s="3" t="s">
        <v>514</v>
      </c>
    </row>
  </sheetData>
  <mergeCells count="1">
    <mergeCell ref="A1:P1"/>
  </mergeCells>
  <conditionalFormatting sqref="B3">
    <cfRule type="cellIs" dxfId="2" priority="1" operator="equal">
      <formula>"Erro"</formula>
    </cfRule>
    <cfRule type="cellIs" dxfId="1" priority="2" operator="equal">
      <formula>"Publicado"</formula>
    </cfRule>
    <cfRule type="cellIs" dxfId="0" priority="3" operator="equal">
      <formula>"Parado"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D26"/>
  <sheetViews>
    <sheetView showGridLines="0" workbookViewId="0">
      <selection activeCell="D2" sqref="D2"/>
    </sheetView>
  </sheetViews>
  <sheetFormatPr defaultRowHeight="13.8"/>
  <cols>
    <col min="1" max="1" width="26.296875" style="93" bestFit="1" customWidth="1"/>
    <col min="2" max="2" width="10.59765625" style="93" customWidth="1"/>
    <col min="3" max="3" width="20.59765625" style="93" bestFit="1" customWidth="1"/>
    <col min="4" max="4" width="33.296875" style="93" customWidth="1"/>
  </cols>
  <sheetData>
    <row r="1" spans="1:4">
      <c r="A1" s="65" t="s">
        <v>182</v>
      </c>
      <c r="B1" s="65" t="s">
        <v>3</v>
      </c>
      <c r="C1" s="65" t="s">
        <v>515</v>
      </c>
      <c r="D1" s="65" t="s">
        <v>516</v>
      </c>
    </row>
    <row r="2" spans="1:4">
      <c r="A2" s="66" t="s">
        <v>517</v>
      </c>
      <c r="B2" s="66" t="s">
        <v>455</v>
      </c>
      <c r="C2" s="67">
        <v>68</v>
      </c>
      <c r="D2" s="67" t="s">
        <v>518</v>
      </c>
    </row>
    <row r="3" spans="1:4">
      <c r="A3" s="66" t="s">
        <v>519</v>
      </c>
      <c r="B3" s="68" t="s">
        <v>453</v>
      </c>
      <c r="C3" s="67">
        <v>2</v>
      </c>
      <c r="D3" s="67" t="s">
        <v>518</v>
      </c>
    </row>
    <row r="4" spans="1:4">
      <c r="A4" s="66" t="s">
        <v>520</v>
      </c>
      <c r="B4" s="66" t="s">
        <v>455</v>
      </c>
      <c r="C4" s="67">
        <v>1</v>
      </c>
      <c r="D4" s="67" t="s">
        <v>518</v>
      </c>
    </row>
    <row r="5" spans="1:4">
      <c r="A5" s="66" t="s">
        <v>194</v>
      </c>
      <c r="B5" s="66" t="s">
        <v>455</v>
      </c>
      <c r="C5" s="67">
        <v>3</v>
      </c>
      <c r="D5" s="67" t="s">
        <v>518</v>
      </c>
    </row>
    <row r="6" spans="1:4">
      <c r="A6" s="66" t="s">
        <v>405</v>
      </c>
      <c r="B6" s="68" t="s">
        <v>453</v>
      </c>
      <c r="C6" s="67">
        <v>1</v>
      </c>
      <c r="D6" s="67" t="s">
        <v>518</v>
      </c>
    </row>
    <row r="7" spans="1:4">
      <c r="A7" s="66" t="s">
        <v>206</v>
      </c>
      <c r="B7" s="66" t="s">
        <v>455</v>
      </c>
      <c r="C7" s="67">
        <v>4</v>
      </c>
      <c r="D7" s="67" t="s">
        <v>518</v>
      </c>
    </row>
    <row r="8" spans="1:4">
      <c r="A8" s="66" t="s">
        <v>221</v>
      </c>
      <c r="B8" s="66" t="s">
        <v>455</v>
      </c>
      <c r="C8" s="67">
        <v>4</v>
      </c>
      <c r="D8" s="67" t="s">
        <v>518</v>
      </c>
    </row>
    <row r="9" spans="1:4">
      <c r="A9" s="66" t="s">
        <v>521</v>
      </c>
      <c r="B9" s="66" t="s">
        <v>456</v>
      </c>
      <c r="C9" s="67">
        <v>2</v>
      </c>
      <c r="D9" s="67" t="s">
        <v>518</v>
      </c>
    </row>
    <row r="10" spans="1:4">
      <c r="A10" s="66" t="s">
        <v>522</v>
      </c>
      <c r="B10" s="68" t="s">
        <v>453</v>
      </c>
      <c r="C10" s="67">
        <v>11</v>
      </c>
      <c r="D10" s="67" t="s">
        <v>518</v>
      </c>
    </row>
    <row r="11" spans="1:4">
      <c r="A11" s="66" t="s">
        <v>523</v>
      </c>
      <c r="B11" s="66" t="s">
        <v>454</v>
      </c>
      <c r="C11" s="67">
        <v>8</v>
      </c>
      <c r="D11" s="67" t="s">
        <v>518</v>
      </c>
    </row>
    <row r="12" spans="1:4">
      <c r="A12" s="66" t="s">
        <v>239</v>
      </c>
      <c r="B12" s="66" t="s">
        <v>455</v>
      </c>
      <c r="C12" s="67">
        <v>18</v>
      </c>
      <c r="D12" s="67" t="s">
        <v>518</v>
      </c>
    </row>
    <row r="13" spans="1:4">
      <c r="A13" s="66" t="s">
        <v>524</v>
      </c>
      <c r="B13" s="68" t="s">
        <v>453</v>
      </c>
      <c r="C13" s="67">
        <v>3</v>
      </c>
      <c r="D13" s="67" t="s">
        <v>518</v>
      </c>
    </row>
    <row r="14" spans="1:4">
      <c r="A14" s="66" t="s">
        <v>303</v>
      </c>
      <c r="B14" s="66" t="s">
        <v>455</v>
      </c>
      <c r="C14" s="67">
        <v>1</v>
      </c>
      <c r="D14" s="67" t="s">
        <v>518</v>
      </c>
    </row>
    <row r="15" spans="1:4">
      <c r="A15" s="66" t="s">
        <v>315</v>
      </c>
      <c r="B15" s="66" t="s">
        <v>455</v>
      </c>
      <c r="C15" s="67">
        <v>1</v>
      </c>
      <c r="D15" s="67" t="s">
        <v>518</v>
      </c>
    </row>
    <row r="16" spans="1:4">
      <c r="A16" s="66" t="s">
        <v>525</v>
      </c>
      <c r="B16" s="68" t="s">
        <v>453</v>
      </c>
      <c r="C16" s="67">
        <v>2</v>
      </c>
      <c r="D16" s="67" t="s">
        <v>518</v>
      </c>
    </row>
    <row r="17" spans="1:4">
      <c r="A17" s="66" t="s">
        <v>309</v>
      </c>
      <c r="B17" s="66" t="s">
        <v>455</v>
      </c>
      <c r="C17" s="67">
        <v>7</v>
      </c>
      <c r="D17" s="67" t="s">
        <v>518</v>
      </c>
    </row>
    <row r="18" spans="1:4">
      <c r="A18" s="66" t="s">
        <v>340</v>
      </c>
      <c r="B18" s="66" t="s">
        <v>455</v>
      </c>
      <c r="C18" s="67">
        <v>3</v>
      </c>
      <c r="D18" s="67" t="s">
        <v>518</v>
      </c>
    </row>
    <row r="19" spans="1:4">
      <c r="A19" s="66" t="s">
        <v>362</v>
      </c>
      <c r="B19" s="66" t="s">
        <v>455</v>
      </c>
      <c r="C19" s="67">
        <v>1</v>
      </c>
      <c r="D19" s="67" t="s">
        <v>518</v>
      </c>
    </row>
    <row r="20" spans="1:4">
      <c r="A20" s="66" t="s">
        <v>526</v>
      </c>
      <c r="B20" s="68" t="s">
        <v>453</v>
      </c>
      <c r="C20" s="67">
        <v>7</v>
      </c>
      <c r="D20" s="67" t="s">
        <v>518</v>
      </c>
    </row>
    <row r="21" spans="1:4">
      <c r="A21" s="66" t="s">
        <v>527</v>
      </c>
      <c r="B21" s="66" t="s">
        <v>454</v>
      </c>
      <c r="C21" s="67">
        <v>2</v>
      </c>
      <c r="D21" s="67" t="s">
        <v>518</v>
      </c>
    </row>
    <row r="22" spans="1:4">
      <c r="A22" s="66" t="s">
        <v>352</v>
      </c>
      <c r="B22" s="66" t="s">
        <v>455</v>
      </c>
      <c r="C22" s="67">
        <v>8</v>
      </c>
      <c r="D22" s="67" t="s">
        <v>518</v>
      </c>
    </row>
    <row r="23" spans="1:4">
      <c r="A23" s="66" t="s">
        <v>394</v>
      </c>
      <c r="B23" s="66" t="s">
        <v>455</v>
      </c>
      <c r="C23" s="67">
        <v>1</v>
      </c>
      <c r="D23" s="67" t="s">
        <v>518</v>
      </c>
    </row>
    <row r="24" spans="1:4">
      <c r="A24" s="66" t="s">
        <v>528</v>
      </c>
      <c r="B24" s="68" t="s">
        <v>453</v>
      </c>
      <c r="C24" s="67">
        <v>1</v>
      </c>
      <c r="D24" s="67" t="s">
        <v>518</v>
      </c>
    </row>
    <row r="25" spans="1:4">
      <c r="A25" s="66" t="s">
        <v>384</v>
      </c>
      <c r="B25" s="66" t="s">
        <v>455</v>
      </c>
      <c r="C25" s="67">
        <v>4</v>
      </c>
      <c r="D25" s="67" t="s">
        <v>518</v>
      </c>
    </row>
    <row r="26" spans="1:4">
      <c r="A26" s="66" t="s">
        <v>415</v>
      </c>
      <c r="B26" s="66" t="s">
        <v>455</v>
      </c>
      <c r="C26" s="67">
        <v>1</v>
      </c>
      <c r="D26" s="67" t="s">
        <v>518</v>
      </c>
    </row>
  </sheetData>
  <autoFilter ref="A1:C26"/>
  <hyperlinks>
    <hyperlink ref="A2" r:id="rId1"/>
    <hyperlink ref="A3" r:id="rId2"/>
    <hyperlink ref="A4" r:id="rId3"/>
    <hyperlink ref="A5" r:id="rId4" display="https://app.powerbi.com/groups/838a4381-6a88-4235-a361-df7349246528?experience=power-bi"/>
    <hyperlink ref="A6" r:id="rId5"/>
    <hyperlink ref="A7" r:id="rId6" display="https://app.powerbi.com/groups/3ed8daac-5cc7-47f5-b4f3-adfe6deaacc7?experience=power-bi"/>
    <hyperlink ref="A8" r:id="rId7" display="https://app.powerbi.com/groups/e12eb10e-3ad3-4583-baa8-c1b72159e21c?experience=power-bi"/>
    <hyperlink ref="A9" r:id="rId8"/>
    <hyperlink ref="A10" r:id="rId9"/>
    <hyperlink ref="A11" r:id="rId10"/>
    <hyperlink ref="A12" r:id="rId11" display="https://app.powerbi.com/groups/0b73efc3-c3cc-45f1-9240-519e55b13de5?experience=power-bi"/>
    <hyperlink ref="A13" r:id="rId12"/>
    <hyperlink ref="A14" r:id="rId13" display="https://app.powerbi.com/groups/43774005-3ad4-4a71-a12c-c70f24edf487?experience=power-bi"/>
    <hyperlink ref="A15" r:id="rId14" display="https://app.powerbi.com/groups/6d38c256-3ede-43cc-83c5-3510a3e6bc0c?experience=power-bi"/>
    <hyperlink ref="A16" r:id="rId15"/>
    <hyperlink ref="A17" r:id="rId16" display="https://app.powerbi.com/groups/fad50932-b25d-41c1-b165-1c1d0af6b5ad?experience=power-bi"/>
    <hyperlink ref="A18" r:id="rId17" display="https://app.powerbi.com/groups/571a4a31-79dc-4124-91a1-4130706f9cc2?experience=power-bi"/>
    <hyperlink ref="A19" r:id="rId18" display="https://app.powerbi.com/groups/35450d52-832b-4557-98f5-f2f88da17c40?experience=power-bi"/>
    <hyperlink ref="A20" r:id="rId19"/>
    <hyperlink ref="A21" r:id="rId20"/>
    <hyperlink ref="A22" r:id="rId21" display="https://app.powerbi.com/groups/1abc4333-9f61-43db-8926-59ed05976d2a?experience=power-bi"/>
    <hyperlink ref="A23" r:id="rId22" display="https://app.powerbi.com/groups/c8250554-3e79-46cd-a860-7005e77301b1?experience=power-bi"/>
    <hyperlink ref="A24" r:id="rId23"/>
    <hyperlink ref="A25" r:id="rId24" display="https://app.powerbi.com/groups/4963782d-ca3c-4507-9fc1-6cfe1216c285?experience=power-bi"/>
    <hyperlink ref="A26" r:id="rId25" display="https://app.powerbi.com/groups/bd03572a-f34d-4ff6-9bb4-541d4ab5118c?experience=power-bi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ColWidth="9.09765625" defaultRowHeight="13.8"/>
  <cols>
    <col min="1" max="1" width="24.3984375" style="8" bestFit="1" customWidth="1"/>
    <col min="2" max="2" width="16.8984375" style="8" bestFit="1" customWidth="1"/>
    <col min="3" max="3" width="41.8984375" style="8" customWidth="1"/>
    <col min="4" max="4" width="99" style="8" customWidth="1"/>
    <col min="5" max="5" width="5" style="8" bestFit="1" customWidth="1"/>
    <col min="6" max="6" width="11.296875" style="8" bestFit="1" customWidth="1"/>
    <col min="7" max="13" width="9.09765625" style="8" customWidth="1"/>
    <col min="14" max="16384" width="9.09765625" style="8"/>
  </cols>
  <sheetData>
    <row r="1" spans="1:4">
      <c r="A1" s="15" t="s">
        <v>529</v>
      </c>
      <c r="B1" s="15" t="s">
        <v>4</v>
      </c>
      <c r="C1" s="15" t="s">
        <v>530</v>
      </c>
      <c r="D1" s="15" t="s">
        <v>531</v>
      </c>
    </row>
    <row r="2" spans="1:4" ht="55.2" customHeight="1">
      <c r="A2" s="16" t="s">
        <v>192</v>
      </c>
      <c r="B2" s="8" t="s">
        <v>532</v>
      </c>
      <c r="C2" s="8" t="s">
        <v>533</v>
      </c>
      <c r="D2" s="8" t="s">
        <v>534</v>
      </c>
    </row>
    <row r="3" spans="1:4" ht="55.2" customHeight="1">
      <c r="A3" s="16" t="s">
        <v>205</v>
      </c>
      <c r="B3" s="8" t="s">
        <v>535</v>
      </c>
      <c r="C3" s="8" t="s">
        <v>536</v>
      </c>
      <c r="D3" s="8" t="s">
        <v>537</v>
      </c>
    </row>
    <row r="4" spans="1:4">
      <c r="A4" s="16" t="s">
        <v>121</v>
      </c>
      <c r="B4" s="8" t="s">
        <v>535</v>
      </c>
      <c r="C4" s="8" t="s">
        <v>191</v>
      </c>
      <c r="D4" s="8" t="s">
        <v>191</v>
      </c>
    </row>
    <row r="5" spans="1:4" ht="27.6" customHeight="1">
      <c r="A5" s="16" t="s">
        <v>538</v>
      </c>
      <c r="B5" s="8" t="s">
        <v>532</v>
      </c>
      <c r="C5" s="8" t="s">
        <v>191</v>
      </c>
      <c r="D5" s="8" t="s">
        <v>539</v>
      </c>
    </row>
    <row r="6" spans="1:4" ht="82.8" customHeight="1">
      <c r="A6" s="16" t="s">
        <v>229</v>
      </c>
      <c r="B6" s="8" t="s">
        <v>540</v>
      </c>
      <c r="C6" s="8" t="s">
        <v>541</v>
      </c>
      <c r="D6" s="8" t="s">
        <v>542</v>
      </c>
    </row>
    <row r="7" spans="1:4" ht="41.4" customHeight="1">
      <c r="A7" s="16" t="s">
        <v>238</v>
      </c>
      <c r="B7" s="8" t="s">
        <v>535</v>
      </c>
      <c r="C7" s="8" t="s">
        <v>191</v>
      </c>
      <c r="D7" s="8" t="s">
        <v>543</v>
      </c>
    </row>
    <row r="8" spans="1:4" ht="41.4" customHeight="1">
      <c r="A8" s="16" t="s">
        <v>69</v>
      </c>
      <c r="B8" s="8" t="s">
        <v>532</v>
      </c>
      <c r="C8" s="8" t="s">
        <v>544</v>
      </c>
      <c r="D8" s="8" t="s">
        <v>545</v>
      </c>
    </row>
    <row r="9" spans="1:4" ht="69" customHeight="1">
      <c r="A9" s="16" t="s">
        <v>228</v>
      </c>
      <c r="B9" s="8" t="s">
        <v>191</v>
      </c>
      <c r="C9" s="8" t="s">
        <v>546</v>
      </c>
      <c r="D9" s="8" t="s">
        <v>547</v>
      </c>
    </row>
    <row r="10" spans="1:4" ht="124.2" customHeight="1">
      <c r="A10" s="16" t="s">
        <v>53</v>
      </c>
      <c r="B10" s="8" t="s">
        <v>532</v>
      </c>
      <c r="C10" s="8" t="s">
        <v>548</v>
      </c>
      <c r="D10" s="8" t="s">
        <v>549</v>
      </c>
    </row>
    <row r="11" spans="1:4" ht="27.6" customHeight="1">
      <c r="A11" s="16" t="s">
        <v>278</v>
      </c>
      <c r="B11" s="8" t="s">
        <v>535</v>
      </c>
      <c r="C11" s="8" t="s">
        <v>191</v>
      </c>
      <c r="D11" s="8" t="s">
        <v>550</v>
      </c>
    </row>
    <row r="12" spans="1:4">
      <c r="A12" s="16" t="s">
        <v>302</v>
      </c>
      <c r="B12" s="8" t="s">
        <v>535</v>
      </c>
      <c r="C12" s="8" t="s">
        <v>191</v>
      </c>
      <c r="D12" s="8" t="s">
        <v>551</v>
      </c>
    </row>
    <row r="13" spans="1:4" ht="41.4" customHeight="1">
      <c r="A13" s="16" t="s">
        <v>330</v>
      </c>
      <c r="B13" s="8" t="s">
        <v>552</v>
      </c>
      <c r="C13" s="8" t="s">
        <v>553</v>
      </c>
      <c r="D13" s="8" t="s">
        <v>554</v>
      </c>
    </row>
    <row r="14" spans="1:4" ht="41.4" customHeight="1">
      <c r="A14" s="16" t="s">
        <v>326</v>
      </c>
      <c r="B14" s="8" t="s">
        <v>532</v>
      </c>
      <c r="C14" s="8" t="s">
        <v>555</v>
      </c>
      <c r="D14" s="8" t="s">
        <v>556</v>
      </c>
    </row>
    <row r="15" spans="1:4" ht="55.2" customHeight="1">
      <c r="A15" s="16" t="s">
        <v>140</v>
      </c>
      <c r="B15" s="8" t="s">
        <v>532</v>
      </c>
      <c r="C15" s="98" t="s">
        <v>557</v>
      </c>
      <c r="D15" s="8" t="s">
        <v>558</v>
      </c>
    </row>
    <row r="16" spans="1:4">
      <c r="A16" s="16" t="s">
        <v>398</v>
      </c>
      <c r="B16" s="8" t="s">
        <v>535</v>
      </c>
      <c r="C16" s="8" t="s">
        <v>559</v>
      </c>
      <c r="D16" s="8" t="s">
        <v>560</v>
      </c>
    </row>
    <row r="17" spans="1:4">
      <c r="A17" s="16" t="s">
        <v>414</v>
      </c>
      <c r="B17" s="8" t="s">
        <v>535</v>
      </c>
      <c r="C17" s="8" t="s">
        <v>191</v>
      </c>
      <c r="D17" s="8" t="s">
        <v>561</v>
      </c>
    </row>
    <row r="18" spans="1:4">
      <c r="A18" s="16"/>
    </row>
    <row r="19" spans="1:4">
      <c r="A19" s="16"/>
    </row>
    <row r="21" spans="1:4">
      <c r="A21" s="12" t="s">
        <v>4</v>
      </c>
      <c r="B21" t="s">
        <v>439</v>
      </c>
    </row>
    <row r="22" spans="1:4">
      <c r="A22" s="12" t="s">
        <v>181</v>
      </c>
      <c r="B22" t="s">
        <v>314</v>
      </c>
    </row>
    <row r="23" spans="1:4">
      <c r="A23" s="12" t="s">
        <v>180</v>
      </c>
      <c r="B23" t="s">
        <v>439</v>
      </c>
    </row>
    <row r="25" spans="1:4">
      <c r="A25" s="12" t="s">
        <v>435</v>
      </c>
      <c r="B25" s="12" t="s">
        <v>436</v>
      </c>
    </row>
    <row r="26" spans="1:4">
      <c r="A26" s="12" t="s">
        <v>437</v>
      </c>
      <c r="B26">
        <v>2025</v>
      </c>
      <c r="C26" t="s">
        <v>438</v>
      </c>
    </row>
    <row r="27" spans="1:4">
      <c r="A27" s="94" t="s">
        <v>338</v>
      </c>
      <c r="B27">
        <v>1</v>
      </c>
      <c r="C27">
        <v>1</v>
      </c>
    </row>
    <row r="28" spans="1:4">
      <c r="A28" s="94" t="s">
        <v>342</v>
      </c>
      <c r="B28">
        <v>1</v>
      </c>
      <c r="C28">
        <v>1</v>
      </c>
    </row>
    <row r="29" spans="1:4">
      <c r="A29" s="94" t="s">
        <v>391</v>
      </c>
      <c r="B29">
        <v>1</v>
      </c>
      <c r="C29">
        <v>1</v>
      </c>
    </row>
    <row r="30" spans="1:4">
      <c r="A30" s="94" t="s">
        <v>311</v>
      </c>
      <c r="B30">
        <v>1</v>
      </c>
      <c r="C30">
        <v>1</v>
      </c>
    </row>
    <row r="31" spans="1:4">
      <c r="A31" s="94" t="s">
        <v>438</v>
      </c>
      <c r="B31">
        <v>4</v>
      </c>
      <c r="C31">
        <v>4</v>
      </c>
    </row>
  </sheetData>
  <hyperlinks>
    <hyperlink ref="A3" r:id="rId2" tooltip="LUCAS SILVA SPESSOTO SILVA SPESSOTO" display="mailto:lucas.spessoto@eptv.com.br?subject=Question%20about%20Painel%20Compras%20in%20Power%20BI&amp;body=%0A%0A%0AHere%27s%20the%20report%20link%3A%0Ahttps%3A%2F%2Fapp.powerbi.com%2Fgroups%2F3ed8daac-5cc7-47f5-b4f3-adfe6deaacc7%2Freports%2Fc649b5a6-e884-459b-a12f-3df45ec454ba%3Fctid%3D7308dcb6-c413-47dd-86ec-de575e4fe294%0AThanks!"/>
    <hyperlink ref="A4" r:id="rId3" tooltip="BRUNO MASCARO WOTH" display="mailto:bruno.woth@eptv.com.br?subject=Question%20about%20An%C3%A1lise%20Dados%20Whatsapp_DQ%20in%20Power%20BI&amp;body=%0A%0A%0AHere%27s%20the%20report%20link%3A%0Ahttps%3A%2F%2Fapp.powerbi.com%2Fgroups%2Fe12eb10e-3ad3-4583-baa8-c1b72159e21c%2Freports%2F2bf938db-95ae-46c0-a339-00a38338d3ad%3Fctid%3D7308dcb6-c413-47dd-86ec-de575e4fe294%0AThanks!"/>
    <hyperlink ref="A5" r:id="rId4" tooltip="GUILHERME POMPEO" display="mailto:guilherme.pompeo@eptv.com.br?subject=Question%20about%20An%C3%A1lise%20de%20Desempenho%20Chatbot%20in%20Power%20BI&amp;body=%0A%0A%0AHere%27s%20the%20report%20link%3A%0Ahttps%3A%2F%2Fapp.powerbi.com%2Fgroups%2Fe12eb10e-3ad3-4583-baa8-c1b72159e21c%2Freports%2Ff1efa003-e9f6-4c09-9024-d554cffc39e0%3Fctid%3D7308dcb6-c413-47dd-86ec-de575e4fe294%0AThanks!"/>
    <hyperlink ref="A6" r:id="rId5" tooltip="Hugo Henrique Cardoso Santos" display="mailto:hugo.santos@empresaspioneiras.onmicrosoft.com?subject=Question%20about%20Performance%20Campanhas%20in%20Power%20BI&amp;body=%0A%0A%0AHere%27s%20the%20report%20link%3A%0Ahttps%3A%2F%2Fapp.powerbi.com%2Fgroups%2Fe12eb10e-3ad3-4583-baa8-c1b72159e21c%2Freports%2F3034b08e-4cbf-410a-a48f-f88699c56aa7%3Fctid%3D7308dcb6-c413-47dd-86ec-de575e4fe294%0AThanks!"/>
    <hyperlink ref="A7" r:id="rId6" tooltip="CAIO SIQUEIRA NOVO" display="mailto:caio.novo@eptv.com.br?subject=Question%20about%20Acompanhamento%20N%C3%BAmero%20Di%C3%A1rio%20-%20Exibidora%20in%20Power%20BI&amp;body=%0A%0A%0AHere%27s%20the%20report%20link%3A%0Ahttps%3A%2F%2Fapp.powerbi.com%2Fgroups%2F0b73efc3-c3cc-45f1-9240-519e55b13de5%2Freports%2F6cac744f-517b-4b2d-9b4a-6d134a29e855%3Fctid%3D7308dcb6-c413-47dd-86ec-de575e4fe294%0AThanks!"/>
    <hyperlink ref="A8" r:id="rId7" tooltip="LAIS KUMASAKA SANTOS" display="mailto:lais.santos@eptv.com.br?subject=Question%20about%20AdManager_Germanica%20in%20Power%20BI&amp;body=%0A%0A%0AHere%27s%20the%20report%20link%3A%0Ahttps%3A%2F%2Fapp.powerbi.com%2Fgroups%2F0b73efc3-c3cc-45f1-9240-519e55b13de5%2Freports%2F8dc30ba7-93f5-4bea-a099-1bc1f6893c18%3Fctid%3D7308dcb6-c413-47dd-86ec-de575e4fe294%0AThanks!"/>
    <hyperlink ref="A9" r:id="rId8" tooltip="BI Grupo EP" display="mailto:BI_GrupoEP@eptv.com.br?subject=Question%20about%20desempenho_comercial%20in%20Power%20BI&amp;body=%0A%0A%0AHere%27s%20the%20report%20link%3A%0Ahttps%3A%2F%2Fapp.powerbi.com%2Fgroups%2F0b73efc3-c3cc-45f1-9240-519e55b13de5%2Freports%2F2afb6ada-d06d-4b08-99f6-43f2aa233dcf%3Fctid%3D7308dcb6-c413-47dd-86ec-de575e4fe294%0AThanks!"/>
    <hyperlink ref="A10" r:id="rId9" tooltip="FELIPE PEREIRA CORREIA" display="mailto:felipe.correia@eptv.com.br?subject=Question%20about%20desempenho_comercial_dev_v1.1.0%20in%20Power%20BI&amp;body=%0A%0A%0AHere%27s%20the%20report%20link%3A%0Ahttps%3A%2F%2Fapp.powerbi.com%2Fgroups%2F0b73efc3-c3cc-45f1-9240-519e55b13de5%2Freports%2F173231fb-49f8-4548-89e7-6a93f3d631be%3Fctid%3D7308dcb6-c413-47dd-86ec-de575e4fe294%0AThanks!"/>
    <hyperlink ref="A11" r:id="rId10" tooltip="JORGE KENDI NAKANO" display="mailto:kendi.nakano@eptv.com.br?subject=Question%20about%20monitoramento_crowley%20in%20Power%20BI&amp;body=%0A%0A%0AHere%27s%20the%20report%20link%3A%0Ahttps%3A%2F%2Fapp.powerbi.com%2Fgroups%2F0b73efc3-c3cc-45f1-9240-519e55b13de5%2Freports%2F75c1d0a3-633a-4664-a63d-db4af4da3054%3Fctid%3D7308dcb6-c413-47dd-86ec-de575e4fe294%0AThanks!"/>
    <hyperlink ref="A12" r:id="rId11" tooltip="FELIPE PEREIRA CORREIA" display="mailto:felipe.correia@eptv.com.br?subject=Question%20about%20Calend%C3%A1rio%20Corporativo%20PBI%20in%20Power%20BI&amp;body=%0A%0A%0AHere%27s%20the%20report%20link%3A%0Ahttps%3A%2F%2Fapp.powerbi.com%2Fgroups%2F43774005-3ad4-4a71-a12c-c70f24edf487%2Freports%2F6f5b4d09-1f91-4f25-83cf-a61b246e0f73%3Fctid%3D7308dcb6-c413-47dd-86ec-de575e4fe294%0AThanks!"/>
    <hyperlink ref="A13" r:id="rId12" tooltip="PRISCILA FREDERICO SILVA FERNANDES" display="mailto:priscila.silva@eptv.com.br?subject=Question%20about%20Painel%20de%20Vendas%20in%20Power%20BI&amp;body=%0A%0A%0AHere%27s%20the%20report%20link%3A%0Ahttps%3A%2F%2Fapp.powerbi.com%2Fgroups%2Ffad50932-b25d-41c1-b165-1c1d0af6b5ad%2Freports%2Fabcb24cc-551b-437f-8beb-c7c0609d8e4f%3Fctid%3D7308dcb6-c413-47dd-86ec-de575e4fe294%0AThanks!"/>
    <hyperlink ref="A14" r:id="rId13" tooltip="MARILENE ALVES MARTINS PIRES" display="mailto:marilene.pires@eptv.com.br?subject=Question%20about%20Resultado_Eventos_v01%20in%20Power%20BI&amp;body=%0A%0A%0AHere%27s%20the%20report%20link%3A%0Ahttps%3A%2F%2Fapp.powerbi.com%2Fgroups%2Ffad50932-b25d-41c1-b165-1c1d0af6b5ad%2Freports%2Ff6ab3336-974c-4092-915d-6385c8aa7e9f%3Fctid%3D7308dcb6-c413-47dd-86ec-de575e4fe294%0AThanks!"/>
    <hyperlink ref="A15" r:id="rId14" tooltip="LEONARDO BRUNO RODRIGUES" display="mailto:leonardo.bruno@eptv.com.br?subject=Question%20about%20Desempenho%20-%20Entretenimento%20in%20Power%20BI&amp;body=%0A%0A%0AHere%27s%20the%20report%20link%3A%0Ahttps%3A%2F%2Fapp.powerbi.com%2Fgroups%2F1abc4333-9f61-43db-8926-59ed05976d2a%2Freports%2F32e46cf2-0530-48ca-aa6e-d981dd710314%3Fctid%3D7308dcb6-c413-47dd-86ec-de575e4fe294%0AThanks!"/>
    <hyperlink ref="A16" r:id="rId15" tooltip="ALEXANDRE DE OLIVEIRA" display="mailto:alexandre.oliveira@eptv.com.br?subject=Question%20about%20Or%C3%A7amento_2026%20in%20Power%20BI&amp;body=%0A%0A%0AHere%27s%20the%20report%20link%3A%0Ahttps%3A%2F%2Fapp.powerbi.com%2Fgroups%2F4963782d-ca3c-4507-9fc1-6cfe1216c285%2Freports%2F0f9239af-e73d-4a3c-b331-1af74bcfa0bc%3Fctid%3D7308dcb6-c413-47dd-86ec-de575e4fe294%0AThanks!"/>
    <hyperlink ref="A17" r:id="rId16" tooltip="FELIPE MONTE BARBOSA" display="mailto:felipe.barbosa@eptv.com.br?subject=Question%20about%20Unidade_Eventos%20in%20Power%20BI&amp;body=%0A%0A%0AHere%27s%20the%20report%20link%3A%0Ahttps%3A%2F%2Fapp.powerbi.com%2Fgroups%2Fbd03572a-f34d-4ff6-9bb4-541d4ab5118c%2Freports%2F19aff478-11d2-4b6a-be42-360b0b60f8f2%3Fctid%3D7308dcb6-c413-47dd-86ec-de575e4fe294%0AThanks!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T2:X8"/>
  <sheetViews>
    <sheetView showGridLines="0" topLeftCell="A124" workbookViewId="0">
      <selection activeCell="V6" sqref="V6"/>
    </sheetView>
  </sheetViews>
  <sheetFormatPr defaultRowHeight="13.8"/>
  <cols>
    <col min="20" max="20" width="7.59765625" style="93" customWidth="1"/>
    <col min="21" max="21" width="23.09765625" style="93" customWidth="1"/>
    <col min="22" max="22" width="38.59765625" style="93" bestFit="1" customWidth="1"/>
    <col min="23" max="24" width="49.09765625" style="93" customWidth="1"/>
  </cols>
  <sheetData>
    <row r="2" spans="20:22">
      <c r="T2" s="7" t="s">
        <v>562</v>
      </c>
      <c r="U2" s="7" t="s">
        <v>563</v>
      </c>
      <c r="V2" s="7" t="s">
        <v>564</v>
      </c>
    </row>
    <row r="3" spans="20:22">
      <c r="T3" s="10" t="s">
        <v>565</v>
      </c>
      <c r="U3" s="11" t="s">
        <v>566</v>
      </c>
      <c r="V3" s="11" t="s">
        <v>567</v>
      </c>
    </row>
    <row r="4" spans="20:22">
      <c r="T4" s="9" t="s">
        <v>568</v>
      </c>
      <c r="U4" s="8" t="s">
        <v>569</v>
      </c>
      <c r="V4" s="8" t="s">
        <v>570</v>
      </c>
    </row>
    <row r="5" spans="20:22">
      <c r="T5" s="9" t="s">
        <v>571</v>
      </c>
      <c r="U5" s="8" t="s">
        <v>572</v>
      </c>
      <c r="V5" s="8" t="s">
        <v>573</v>
      </c>
    </row>
    <row r="6" spans="20:22">
      <c r="T6" s="9" t="s">
        <v>574</v>
      </c>
      <c r="U6" s="8" t="s">
        <v>575</v>
      </c>
      <c r="V6" s="8" t="s">
        <v>576</v>
      </c>
    </row>
    <row r="7" spans="20:22">
      <c r="T7" s="9" t="s">
        <v>577</v>
      </c>
      <c r="U7" s="8" t="s">
        <v>578</v>
      </c>
      <c r="V7" s="8" t="s">
        <v>579</v>
      </c>
    </row>
    <row r="8" spans="20:22">
      <c r="T8" s="9" t="s">
        <v>580</v>
      </c>
      <c r="U8" s="8" t="s">
        <v>581</v>
      </c>
      <c r="V8" s="8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Backlog 2026</vt:lpstr>
      <vt:lpstr>Planilha1</vt:lpstr>
      <vt:lpstr>Backlog DEVOPS</vt:lpstr>
      <vt:lpstr>Catálogo_Reports</vt:lpstr>
      <vt:lpstr>Planilha2</vt:lpstr>
      <vt:lpstr>Catálogo_Reports_Status</vt:lpstr>
      <vt:lpstr>Monitoramento Diário</vt:lpstr>
      <vt:lpstr>Análises_Dashboards</vt:lpstr>
      <vt:lpstr>Erros Dashboards</vt:lpstr>
      <vt:lpstr>Catálogo_Pipes</vt:lpstr>
      <vt:lpstr>Workspaces</vt:lpstr>
      <vt:lpstr>Donos BIs</vt:lpstr>
      <vt:lpstr>Capacity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SENA DA SILVA</dc:creator>
  <cp:lastModifiedBy>RICHARD RUTIERREZ SEMENTINO</cp:lastModifiedBy>
  <dcterms:created xsi:type="dcterms:W3CDTF">2026-01-05T13:10:37Z</dcterms:created>
  <dcterms:modified xsi:type="dcterms:W3CDTF">2026-03-26T14:09:36Z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0x010100953497DCEDBC484FB43CE7EA5FA7D14D</vt:lpwstr>
  </property>
  <property fmtid="{D5CDD505-2E9C-101B-9397-08002B2CF9AE}" pid="3" name="MediaServiceImageTags">
    <vt:lpwstr/>
  </property>
</Properties>
</file>